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ventasExpertCell_new\"/>
    </mc:Choice>
  </mc:AlternateContent>
  <xr:revisionPtr revIDLastSave="0" documentId="13_ncr:1_{C0ACB125-BBE4-44D5-9DB4-577507EB5EAE}" xr6:coauthVersionLast="47" xr6:coauthVersionMax="47" xr10:uidLastSave="{00000000-0000-0000-0000-000000000000}"/>
  <bookViews>
    <workbookView xWindow="-28920" yWindow="-2400" windowWidth="29040" windowHeight="15720" activeTab="1" xr2:uid="{00000000-000D-0000-FFFF-FFFF00000000}"/>
  </bookViews>
  <sheets>
    <sheet name="Hoja1" sheetId="2" r:id="rId1"/>
    <sheet name="Metas_Mes" sheetId="1" r:id="rId2"/>
  </sheets>
  <definedNames>
    <definedName name="_xlnm._FilterDatabase" localSheetId="1" hidden="1">Metas_Mes!$A$1:$F$98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2" l="1"/>
  <c r="D11" i="2"/>
  <c r="D10" i="2"/>
  <c r="D9" i="2"/>
  <c r="D8" i="2"/>
  <c r="D7" i="2"/>
  <c r="D6" i="2"/>
  <c r="D5" i="2"/>
  <c r="D4" i="2"/>
</calcChain>
</file>

<file path=xl/sharedStrings.xml><?xml version="1.0" encoding="utf-8"?>
<sst xmlns="http://schemas.openxmlformats.org/spreadsheetml/2006/main" count="408" uniqueCount="121">
  <si>
    <t>EJECUTIVO</t>
  </si>
  <si>
    <t>Supervisor</t>
  </si>
  <si>
    <t>CentroKey</t>
  </si>
  <si>
    <t>status</t>
  </si>
  <si>
    <t>dias_activo_al_1ro</t>
  </si>
  <si>
    <t>meta_mes_actual</t>
  </si>
  <si>
    <t>KARLA KARINA JIMENEZ SERRANO</t>
  </si>
  <si>
    <t>JORGE MIGUEL UREÑA ZARATE</t>
  </si>
  <si>
    <t>JV</t>
  </si>
  <si>
    <t>ACTIVO</t>
  </si>
  <si>
    <t>TERESA IVETTE TAPIA GONZALEZ</t>
  </si>
  <si>
    <t>REYNA LIZZETTE MARTINEZ GARCIA</t>
  </si>
  <si>
    <t>CC2</t>
  </si>
  <si>
    <t>KAREN YARELHI VELAZQUEZ RAMIREZ</t>
  </si>
  <si>
    <t>IVAN JOSEPH CORONA MORALES</t>
  </si>
  <si>
    <t>ALAN UZIEL SALAZAR AGUILAR</t>
  </si>
  <si>
    <t>GUILLERMO JOSUE GUARNEROS LEZAMA</t>
  </si>
  <si>
    <t>VICTOR EDUARDO CAMACHO VARGAS</t>
  </si>
  <si>
    <t>IRVIN ALEXIS FERNANDEZ MILA</t>
  </si>
  <si>
    <t>VIDAL ZAP BERNABE</t>
  </si>
  <si>
    <t>HERMES DE JESUS LEYVA GARCIA</t>
  </si>
  <si>
    <t>MARCOS CARLOS RAMIREZ</t>
  </si>
  <si>
    <t>ALFREDO CABRERA PADRON</t>
  </si>
  <si>
    <t>JENNY PEREZ TOME</t>
  </si>
  <si>
    <t>MARIA FERNANDA VARGAS REYES</t>
  </si>
  <si>
    <t>FERNANDO SANCHEZ VAZQUEZ</t>
  </si>
  <si>
    <t>CESAR JAHACIEL ALONSO GARCIA</t>
  </si>
  <si>
    <t>MARIA FERNANDA HURTADO RODRIGUEZ</t>
  </si>
  <si>
    <t>RICARDO FUENTES TERAN</t>
  </si>
  <si>
    <t>VERONICA RODRIGUEZ HERNANDEZ</t>
  </si>
  <si>
    <t>ANA PAULA VELAZQUEZ PALACIOS</t>
  </si>
  <si>
    <t>IRVING RIVERA CASTILLO</t>
  </si>
  <si>
    <t>GLADYS LIZBETH CRUZ MEDRANO</t>
  </si>
  <si>
    <t>JAIR DALI MALDONADO AGUIRRE</t>
  </si>
  <si>
    <t>NAIVY KARYME BELLO GASCA</t>
  </si>
  <si>
    <t>GAMALIEL ALEJANDRO ZAMORA VALENCIA</t>
  </si>
  <si>
    <t>MIGUEL ANGEL QUITL MENDOZA</t>
  </si>
  <si>
    <t>SAUL DIONISIO RAMOS</t>
  </si>
  <si>
    <t>SAMARA DEZERET GONZALEZ GOMEZ</t>
  </si>
  <si>
    <t>JAVIER FERNANDO HERNANDEZ PEREZ</t>
  </si>
  <si>
    <t>JONATHAN RUGERIO CUEVAS</t>
  </si>
  <si>
    <t>VICTOR DANIEL RODRIGUEZ RAMIREZ</t>
  </si>
  <si>
    <t>JOSE ADRIAN SANCHEZ ESTEVEZ</t>
  </si>
  <si>
    <t>GUADALUPE ESTEVEZ ESTEVEZ</t>
  </si>
  <si>
    <t>JAMILET GUZMAN REYES</t>
  </si>
  <si>
    <t>DIANA LAURA FLORES ARROYO</t>
  </si>
  <si>
    <t>CARLOS ALBERTO AGUILAR CANO</t>
  </si>
  <si>
    <t>FORTINO ROMERO PEREZ</t>
  </si>
  <si>
    <t>JAVIER ISSAC SERNA GUZMAN</t>
  </si>
  <si>
    <t>JORGE ALBERTO GARCIA BANUET</t>
  </si>
  <si>
    <t>ZULLY AIDE CRUZ RAMIREZ</t>
  </si>
  <si>
    <t>BELEN ANAID BAUTISTA VARELA</t>
  </si>
  <si>
    <t>CHRISTIAN GARCIA ALVARADO</t>
  </si>
  <si>
    <t>CRISTEL TAPIA RODRIGUEZ</t>
  </si>
  <si>
    <t>DIEGO IVAN RODRIGUEZ ALVAREZ</t>
  </si>
  <si>
    <t>KENIA ELIZABETH DE LA FUENTE VAZQUEZ</t>
  </si>
  <si>
    <t>KEVIN ALEJANDRO PEREZ COBOS</t>
  </si>
  <si>
    <t>OBED COSME SANCHEZ PADILLA</t>
  </si>
  <si>
    <t>XIMENA JUAREZ VILLARAUZ</t>
  </si>
  <si>
    <t>MARIA DEL CORAL FLORES LOPEZ</t>
  </si>
  <si>
    <t>KATHIA ESTEFANIA PEREZ MERCADO</t>
  </si>
  <si>
    <t>ALONDRA GONZALEZ LUCAS</t>
  </si>
  <si>
    <t>ANA PAOLA DE LA FUENTE GUARNEROS</t>
  </si>
  <si>
    <t>FERNANDO REYNA SANCHEZ</t>
  </si>
  <si>
    <t>ANGEL AARON GARCIA CANO PATIÑO</t>
  </si>
  <si>
    <t>URIEL GIOVANNI LOPEZ ROJAS</t>
  </si>
  <si>
    <t>JESUS GUADALUPE BARRANCO GARCIA</t>
  </si>
  <si>
    <t>KEVIN ALEJANDRO ROJAS BALBUENA</t>
  </si>
  <si>
    <t>MARIA GUADALUPE ROSAS GODOS</t>
  </si>
  <si>
    <t>FELIPE EMMANUEL SANTOS LOPEZ</t>
  </si>
  <si>
    <t>SALIM BERENICE ROMERO TOSCOYOA</t>
  </si>
  <si>
    <t>JOSUE BRAVO NIEVES</t>
  </si>
  <si>
    <t>ALEXIS RIVERA MENDEZ</t>
  </si>
  <si>
    <t>ANDRES TELLEZ CRUZ</t>
  </si>
  <si>
    <t>CRISTIAN AMOROS CANO</t>
  </si>
  <si>
    <t>DYLAN URIEL DOMINGUEZ FLORENCIA</t>
  </si>
  <si>
    <t>MARIA FERNANDA OROPEZA DE LUNA</t>
  </si>
  <si>
    <t>ALEX HERNANDEZ REYES</t>
  </si>
  <si>
    <t>ERIKA DEL SOCORRO FLORES FRANCO</t>
  </si>
  <si>
    <t>GABRIEL HUERTA LUCERO</t>
  </si>
  <si>
    <t>JESUS OZAIR RUIZ ORTIGOZA</t>
  </si>
  <si>
    <t>YARUMI ALBINO AGUILAR</t>
  </si>
  <si>
    <t>YONATAN ARMAS ROLDAN</t>
  </si>
  <si>
    <t>ISAAC PAREDES CORDERO</t>
  </si>
  <si>
    <t>EDUARDO MELENDEZ GARCIA</t>
  </si>
  <si>
    <t>JOSHUA LOPEZ MUNGUIA</t>
  </si>
  <si>
    <t>FRIDA RODRIGUEZ GARCIA</t>
  </si>
  <si>
    <t>NORWIN LOT ROJAS GARCIA</t>
  </si>
  <si>
    <t>ALEX ROBERTO ARENAS ESTRADA</t>
  </si>
  <si>
    <t>PAOLA DANAE TEYSSIER HERNANDEZ</t>
  </si>
  <si>
    <t>YAROL GOMEZ SANCHEZ</t>
  </si>
  <si>
    <t>MARIA TERESA IVONNE AGUILAR DOMINGUEZ</t>
  </si>
  <si>
    <t>FROYLAN YAÑEZ ROJAS</t>
  </si>
  <si>
    <t>JESSICA HERNANDEZ GRIJALVA</t>
  </si>
  <si>
    <t>HECTOR JAVIER PEREA GARCIA</t>
  </si>
  <si>
    <t>MARIO ALEJANDRO CORTES MENDEZ</t>
  </si>
  <si>
    <t>OLGA EMILIA CONDE GONZALEZ</t>
  </si>
  <si>
    <t>MARIA JOSE TELLEZ MUÑOZ</t>
  </si>
  <si>
    <t>OMAR CAMPOS JIMENEZ</t>
  </si>
  <si>
    <t>JOSE DIEGO JARAMILLO HERNANDEZ</t>
  </si>
  <si>
    <t>MONSERRAT FLORES RIVAS</t>
  </si>
  <si>
    <t>SANTIAGO JIMENEZ CHAVEZ</t>
  </si>
  <si>
    <t>CARMEN RIVAS GONZALEZ</t>
  </si>
  <si>
    <t>DAVID CAMACHO JACOME</t>
  </si>
  <si>
    <t>EDITH HERNANDEZ RAMIREZ</t>
  </si>
  <si>
    <t>JUAN MANUEL SUMANO PAREDES</t>
  </si>
  <si>
    <t>LETICIA VICENTE SANTOS</t>
  </si>
  <si>
    <t>LIDYA ARACELI PINEDA MUSTRE</t>
  </si>
  <si>
    <t>LUIS ANGEL REYES UREÑA</t>
  </si>
  <si>
    <t>LUIS ROBERTO AGUILAR MARTINEZ</t>
  </si>
  <si>
    <t>OWEN YAEL LAZARO OLVERA</t>
  </si>
  <si>
    <t>RAMMSES JUAREZ ROMERO</t>
  </si>
  <si>
    <t>VIVIANA RAMOS PERCINO</t>
  </si>
  <si>
    <t xml:space="preserve">EMILIO RAFAEL CORNU AGUILAR </t>
  </si>
  <si>
    <t>Etiquetas de fila</t>
  </si>
  <si>
    <t>Total general</t>
  </si>
  <si>
    <t>Suma de meta_mes_actual</t>
  </si>
  <si>
    <t>Cuenta de EJECUTIVO</t>
  </si>
  <si>
    <t>Metas mayo</t>
  </si>
  <si>
    <t>Promedio de meta</t>
  </si>
  <si>
    <t>Capacitacion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</si>
</sst>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 (Cuerpo)"/>
    </font>
    <font>
      <sz val="11"/>
      <color theme="1"/>
      <name val="Calibri (Cuerpo)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/>
    <xf numFmtId="0" fontId="0" fillId="3" borderId="0" xfId="0" applyFill="1" applyAlignment="1">
      <alignment horizontal="center"/>
    </xf>
    <xf numFmtId="2" fontId="1" fillId="2" borderId="2" xfId="0" applyNumberFormat="1" applyFont="1" applyFill="1" applyBorder="1"/>
    <xf numFmtId="2" fontId="0" fillId="4" borderId="0" xfId="0" applyNumberFormat="1" applyFill="1"/>
    <xf numFmtId="0" fontId="4" fillId="0" borderId="0" xfId="0" applyFont="1"/>
    <xf numFmtId="0" fontId="3" fillId="0" borderId="0" xfId="0" applyFont="1"/>
    <xf numFmtId="0" fontId="3" fillId="0" borderId="3" xfId="0" applyFont="1" applyBorder="1" applyAlignment="1">
      <alignment horizontal="center" vertical="top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Cuerpo)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Cuerpo)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Cuerpo)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Cuerpo)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Cuerpo)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Cuerpo)"/>
        <scheme val="none"/>
      </font>
      <fill>
        <patternFill patternType="none">
          <fgColor indexed="64"/>
          <bgColor indexed="65"/>
        </patternFill>
      </fill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Cuerpo)"/>
        <scheme val="none"/>
      </font>
      <fill>
        <patternFill patternType="none">
          <fgColor indexed="64"/>
          <bgColor indexed="65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Cuerpo)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nathan Arturo Tenorio Del Aguila" refreshedDate="46143.648846180557" createdVersion="8" refreshedVersion="8" minRefreshableVersion="3" recordCount="97" xr:uid="{FF3848E4-C26D-BA48-8AD9-3884433CEAFD}">
  <cacheSource type="worksheet">
    <worksheetSource ref="A1:F98" sheet="Metas_Mes"/>
  </cacheSource>
  <cacheFields count="12">
    <cacheField name="EJECUTIVO" numFmtId="0">
      <sharedItems/>
    </cacheField>
    <cacheField name="Supervisor" numFmtId="0">
      <sharedItems count="9">
        <s v="JORGE MIGUEL UREÑA ZARATE"/>
        <s v="REYNA LIZZETTE MARTINEZ GARCIA"/>
        <s v="ALAN UZIEL SALAZAR AGUILAR"/>
        <s v="EMILIO RAFAEL CORNU AGUILAR "/>
        <s v="ALFREDO CABRERA PADRON"/>
        <s v="CARMEN RIVAS GONZALEZ"/>
        <s v="ANA PAOLA DE LA FUENTE GUARNEROS"/>
        <s v="CARLOS ALBERTO AGUILAR CANO"/>
        <s v="BAJA"/>
      </sharedItems>
    </cacheField>
    <cacheField name="CentroKey" numFmtId="0">
      <sharedItems/>
    </cacheField>
    <cacheField name="status" numFmtId="0">
      <sharedItems/>
    </cacheField>
    <cacheField name="dias_activo_al_1ro" numFmtId="0">
      <sharedItems containsSemiMixedTypes="0" containsString="0" containsNumber="1" containsInteger="1" minValue="4" maxValue="632"/>
    </cacheField>
    <cacheField name="2026-02" numFmtId="0">
      <sharedItems containsSemiMixedTypes="0" containsString="0" containsNumber="1" containsInteger="1" minValue="0" maxValue="23"/>
    </cacheField>
    <cacheField name="2026-03" numFmtId="0">
      <sharedItems containsSemiMixedTypes="0" containsString="0" containsNumber="1" containsInteger="1" minValue="0" maxValue="25"/>
    </cacheField>
    <cacheField name="2026-04" numFmtId="0">
      <sharedItems containsSemiMixedTypes="0" containsString="0" containsNumber="1" containsInteger="1" minValue="0" maxValue="20"/>
    </cacheField>
    <cacheField name="prom_ult_3m" numFmtId="0">
      <sharedItems containsSemiMixedTypes="0" containsString="0" containsNumber="1" minValue="0" maxValue="22.666666666666671"/>
    </cacheField>
    <cacheField name="meta_mes_anterior" numFmtId="0">
      <sharedItems containsSemiMixedTypes="0" containsString="0" containsNumber="1" containsInteger="1" minValue="6" maxValue="21"/>
    </cacheField>
    <cacheField name="meta_mes_calculada" numFmtId="0">
      <sharedItems containsSemiMixedTypes="0" containsString="0" containsNumber="1" containsInteger="1" minValue="6" maxValue="24"/>
    </cacheField>
    <cacheField name="meta_mes_actual" numFmtId="0">
      <sharedItems containsSemiMixedTypes="0" containsString="0" containsNumber="1" containsInteger="1" minValue="0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">
  <r>
    <s v="KARLA KARINA JIMENEZ SERRANO"/>
    <x v="0"/>
    <s v="JV"/>
    <s v="ACTIVO"/>
    <n v="256"/>
    <n v="23"/>
    <n v="25"/>
    <n v="20"/>
    <n v="22.666666666666671"/>
    <n v="21"/>
    <n v="24"/>
    <n v="20"/>
  </r>
  <r>
    <s v="TERESA IVETTE TAPIA GONZALEZ"/>
    <x v="1"/>
    <s v="CC2"/>
    <s v="ACTIVO"/>
    <n v="256"/>
    <n v="22"/>
    <n v="16"/>
    <n v="16"/>
    <n v="18"/>
    <n v="20"/>
    <n v="19"/>
    <n v="20"/>
  </r>
  <r>
    <s v="KAREN YARELHI VELAZQUEZ RAMIREZ"/>
    <x v="0"/>
    <s v="JV"/>
    <s v="ACTIVO"/>
    <n v="151"/>
    <n v="22"/>
    <n v="14"/>
    <n v="17"/>
    <n v="17.666666666666671"/>
    <n v="18"/>
    <n v="19"/>
    <n v="18"/>
  </r>
  <r>
    <s v="IVAN JOSEPH CORONA MORALES"/>
    <x v="2"/>
    <s v="CC2"/>
    <s v="ACTIVO"/>
    <n v="298"/>
    <n v="18"/>
    <n v="12"/>
    <n v="17"/>
    <n v="15.66666666666667"/>
    <n v="17"/>
    <n v="17"/>
    <n v="17"/>
  </r>
  <r>
    <s v="GUILLERMO JOSUE GUARNEROS LEZAMA"/>
    <x v="3"/>
    <s v="JV"/>
    <s v="ACTIVO"/>
    <n v="179"/>
    <n v="14"/>
    <n v="13"/>
    <n v="17"/>
    <n v="14.66666666666667"/>
    <n v="17"/>
    <n v="16"/>
    <n v="17"/>
  </r>
  <r>
    <s v="VICTOR EDUARDO CAMACHO VARGAS"/>
    <x v="3"/>
    <s v="JV"/>
    <s v="ACTIVO"/>
    <n v="360"/>
    <n v="15"/>
    <n v="18"/>
    <n v="6"/>
    <n v="13"/>
    <n v="17"/>
    <n v="14"/>
    <n v="17"/>
  </r>
  <r>
    <s v="IRVIN ALEXIS FERNANDEZ MILA"/>
    <x v="0"/>
    <s v="JV"/>
    <s v="ACTIVO"/>
    <n v="624"/>
    <n v="12"/>
    <n v="19"/>
    <n v="14"/>
    <n v="15"/>
    <n v="15"/>
    <n v="16"/>
    <n v="16"/>
  </r>
  <r>
    <s v="VIDAL ZAP BERNABE"/>
    <x v="2"/>
    <s v="CC2"/>
    <s v="ACTIVO"/>
    <n v="164"/>
    <n v="10"/>
    <n v="20"/>
    <n v="6"/>
    <n v="12"/>
    <n v="16"/>
    <n v="13"/>
    <n v="16"/>
  </r>
  <r>
    <s v="HERMES DE JESUS LEYVA GARCIA"/>
    <x v="0"/>
    <s v="JV"/>
    <s v="ACTIVO"/>
    <n v="277"/>
    <n v="10"/>
    <n v="16"/>
    <n v="8"/>
    <n v="11.33333333333333"/>
    <n v="16"/>
    <n v="13"/>
    <n v="16"/>
  </r>
  <r>
    <s v="MARCOS CARLOS RAMIREZ"/>
    <x v="4"/>
    <s v="CC2"/>
    <s v="ACTIVO"/>
    <n v="207"/>
    <n v="13"/>
    <n v="15"/>
    <n v="14"/>
    <n v="14"/>
    <n v="14"/>
    <n v="15"/>
    <n v="15"/>
  </r>
  <r>
    <s v="JENNY PEREZ TOME"/>
    <x v="0"/>
    <s v="JV"/>
    <s v="ACTIVO"/>
    <n v="632"/>
    <n v="14"/>
    <n v="13"/>
    <n v="14"/>
    <n v="13.66666666666667"/>
    <n v="14"/>
    <n v="15"/>
    <n v="15"/>
  </r>
  <r>
    <s v="MARIA FERNANDA VARGAS REYES"/>
    <x v="5"/>
    <s v="JV"/>
    <s v="ACTIVO"/>
    <n v="473"/>
    <n v="13"/>
    <n v="14"/>
    <n v="13"/>
    <n v="13.33333333333333"/>
    <n v="14"/>
    <n v="15"/>
    <n v="15"/>
  </r>
  <r>
    <s v="FERNANDO SANCHEZ VAZQUEZ"/>
    <x v="1"/>
    <s v="CC2"/>
    <s v="ACTIVO"/>
    <n v="249"/>
    <n v="15"/>
    <n v="13"/>
    <n v="11"/>
    <n v="13"/>
    <n v="15"/>
    <n v="14"/>
    <n v="15"/>
  </r>
  <r>
    <s v="CESAR JAHACIEL ALONSO GARCIA"/>
    <x v="1"/>
    <s v="CC2"/>
    <s v="ACTIVO"/>
    <n v="303"/>
    <n v="12"/>
    <n v="14"/>
    <n v="13"/>
    <n v="13"/>
    <n v="13"/>
    <n v="14"/>
    <n v="14"/>
  </r>
  <r>
    <s v="MARIA FERNANDA HURTADO RODRIGUEZ"/>
    <x v="0"/>
    <s v="JV"/>
    <s v="ACTIVO"/>
    <n v="263"/>
    <n v="13"/>
    <n v="14"/>
    <n v="10"/>
    <n v="12.33333333333333"/>
    <n v="13"/>
    <n v="14"/>
    <n v="14"/>
  </r>
  <r>
    <s v="RICARDO FUENTES TERAN"/>
    <x v="2"/>
    <s v="CC2"/>
    <s v="ACTIVO"/>
    <n v="235"/>
    <n v="11"/>
    <n v="14"/>
    <n v="8"/>
    <n v="11"/>
    <n v="14"/>
    <n v="12"/>
    <n v="15"/>
  </r>
  <r>
    <s v="VERONICA RODRIGUEZ HERNANDEZ"/>
    <x v="0"/>
    <s v="JV"/>
    <s v="ACTIVO"/>
    <n v="109"/>
    <n v="10"/>
    <n v="16"/>
    <n v="3"/>
    <n v="9.6666666666666661"/>
    <n v="14"/>
    <n v="11"/>
    <n v="14"/>
  </r>
  <r>
    <s v="ANA PAULA VELAZQUEZ PALACIOS"/>
    <x v="1"/>
    <s v="CC2"/>
    <s v="ACTIVO"/>
    <n v="102"/>
    <n v="12"/>
    <n v="11"/>
    <n v="13"/>
    <n v="12"/>
    <n v="13"/>
    <n v="13"/>
    <n v="13"/>
  </r>
  <r>
    <s v="IRVING RIVERA CASTILLO"/>
    <x v="1"/>
    <s v="CC2"/>
    <s v="ACTIVO"/>
    <n v="151"/>
    <n v="15"/>
    <n v="9"/>
    <n v="12"/>
    <n v="12"/>
    <n v="12"/>
    <n v="13"/>
    <n v="13"/>
  </r>
  <r>
    <s v="GLADYS LIZBETH CRUZ MEDRANO"/>
    <x v="1"/>
    <s v="CC2"/>
    <s v="ACTIVO"/>
    <n v="270"/>
    <n v="10"/>
    <n v="13"/>
    <n v="12"/>
    <n v="11.66666666666667"/>
    <n v="12"/>
    <n v="13"/>
    <n v="13"/>
  </r>
  <r>
    <s v="JAIR DALI MALDONADO AGUIRRE"/>
    <x v="6"/>
    <s v="CC2"/>
    <s v="ACTIVO"/>
    <n v="95"/>
    <n v="7"/>
    <n v="11"/>
    <n v="17"/>
    <n v="11.66666666666667"/>
    <n v="10"/>
    <n v="13"/>
    <n v="13"/>
  </r>
  <r>
    <s v="NAIVY KARYME BELLO GASCA"/>
    <x v="1"/>
    <s v="CC2"/>
    <s v="ACTIVO"/>
    <n v="270"/>
    <n v="9"/>
    <n v="10"/>
    <n v="16"/>
    <n v="11.66666666666667"/>
    <n v="12"/>
    <n v="13"/>
    <n v="13"/>
  </r>
  <r>
    <s v="GAMALIEL ALEJANDRO ZAMORA VALENCIA"/>
    <x v="1"/>
    <s v="CC2"/>
    <s v="ACTIVO"/>
    <n v="158"/>
    <n v="8"/>
    <n v="17"/>
    <n v="9"/>
    <n v="11.33333333333333"/>
    <n v="12"/>
    <n v="13"/>
    <n v="13"/>
  </r>
  <r>
    <s v="MIGUEL ANGEL QUITL MENDOZA"/>
    <x v="6"/>
    <s v="CC2"/>
    <s v="ACTIVO"/>
    <n v="207"/>
    <n v="11"/>
    <n v="11"/>
    <n v="12"/>
    <n v="11.33333333333333"/>
    <n v="13"/>
    <n v="13"/>
    <n v="13"/>
  </r>
  <r>
    <s v="SAUL DIONISIO RAMOS"/>
    <x v="0"/>
    <s v="JV"/>
    <s v="ACTIVO"/>
    <n v="228"/>
    <n v="11"/>
    <n v="11"/>
    <n v="7"/>
    <n v="9.6666666666666661"/>
    <n v="13"/>
    <n v="11"/>
    <n v="13"/>
  </r>
  <r>
    <s v="SAMARA DEZERET GONZALEZ GOMEZ"/>
    <x v="0"/>
    <s v="JV"/>
    <s v="ACTIVO"/>
    <n v="312"/>
    <n v="9"/>
    <n v="12"/>
    <n v="6"/>
    <n v="9"/>
    <n v="13"/>
    <n v="10"/>
    <n v="13"/>
  </r>
  <r>
    <s v="JAVIER FERNANDO HERNANDEZ PEREZ"/>
    <x v="1"/>
    <s v="CC2"/>
    <s v="ACTIVO"/>
    <n v="81"/>
    <n v="2"/>
    <n v="9"/>
    <n v="13"/>
    <n v="11"/>
    <n v="7"/>
    <n v="12"/>
    <n v="12"/>
  </r>
  <r>
    <s v="JONATHAN RUGERIO CUEVAS"/>
    <x v="4"/>
    <s v="CC2"/>
    <s v="ACTIVO"/>
    <n v="298"/>
    <n v="11"/>
    <n v="11"/>
    <n v="9"/>
    <n v="10.33333333333333"/>
    <n v="12"/>
    <n v="12"/>
    <n v="13"/>
  </r>
  <r>
    <s v="VICTOR DANIEL RODRIGUEZ RAMIREZ"/>
    <x v="4"/>
    <s v="CC2"/>
    <s v="ACTIVO"/>
    <n v="520"/>
    <n v="7"/>
    <n v="13"/>
    <n v="11"/>
    <n v="10.33333333333333"/>
    <n v="10"/>
    <n v="12"/>
    <n v="13"/>
  </r>
  <r>
    <s v="JOSE ADRIAN SANCHEZ ESTEVEZ"/>
    <x v="1"/>
    <s v="CC2"/>
    <s v="ACTIVO"/>
    <n v="109"/>
    <n v="11"/>
    <n v="11"/>
    <n v="8"/>
    <n v="10"/>
    <n v="12"/>
    <n v="11"/>
    <n v="12"/>
  </r>
  <r>
    <s v="GUADALUPE ESTEVEZ ESTEVEZ"/>
    <x v="5"/>
    <s v="JV"/>
    <s v="ACTIVO"/>
    <n v="624"/>
    <n v="14"/>
    <n v="8"/>
    <n v="7"/>
    <n v="9.6666666666666661"/>
    <n v="12"/>
    <n v="11"/>
    <n v="12"/>
  </r>
  <r>
    <s v="JAMILET GUZMAN REYES"/>
    <x v="4"/>
    <s v="CC2"/>
    <s v="ACTIVO"/>
    <n v="305"/>
    <n v="7"/>
    <n v="16"/>
    <n v="6"/>
    <n v="9.6666666666666661"/>
    <n v="12"/>
    <n v="11"/>
    <n v="13"/>
  </r>
  <r>
    <s v="DIANA LAURA FLORES ARROYO"/>
    <x v="7"/>
    <s v="CC2"/>
    <s v="ACTIVO"/>
    <n v="235"/>
    <n v="5"/>
    <n v="16"/>
    <n v="7"/>
    <n v="9.3333333333333339"/>
    <n v="12"/>
    <n v="11"/>
    <n v="12"/>
  </r>
  <r>
    <s v="FORTINO ROMERO PEREZ"/>
    <x v="7"/>
    <s v="CC2"/>
    <s v="ACTIVO"/>
    <n v="164"/>
    <n v="8"/>
    <n v="13"/>
    <n v="7"/>
    <n v="9.3333333333333339"/>
    <n v="12"/>
    <n v="11"/>
    <n v="12"/>
  </r>
  <r>
    <s v="JAVIER ISSAC SERNA GUZMAN"/>
    <x v="1"/>
    <s v="CC2"/>
    <s v="ACTIVO"/>
    <n v="116"/>
    <n v="6"/>
    <n v="16"/>
    <n v="6"/>
    <n v="9.3333333333333339"/>
    <n v="12"/>
    <n v="11"/>
    <n v="12"/>
  </r>
  <r>
    <s v="JORGE ALBERTO GARCIA BANUET"/>
    <x v="5"/>
    <s v="JV"/>
    <s v="ACTIVO"/>
    <n v="151"/>
    <n v="10"/>
    <n v="10"/>
    <n v="10"/>
    <n v="10"/>
    <n v="10"/>
    <n v="11"/>
    <n v="11"/>
  </r>
  <r>
    <s v="ZULLY AIDE CRUZ RAMIREZ"/>
    <x v="7"/>
    <s v="CC2"/>
    <s v="ACTIVO"/>
    <n v="270"/>
    <n v="9"/>
    <n v="10"/>
    <n v="11"/>
    <n v="10"/>
    <n v="11"/>
    <n v="11"/>
    <n v="12"/>
  </r>
  <r>
    <s v="BELEN ANAID BAUTISTA VARELA"/>
    <x v="2"/>
    <s v="CC2"/>
    <s v="ACTIVO"/>
    <n v="179"/>
    <n v="8"/>
    <n v="9"/>
    <n v="11"/>
    <n v="9.3333333333333339"/>
    <n v="9"/>
    <n v="11"/>
    <n v="12"/>
  </r>
  <r>
    <s v="CHRISTIAN GARCIA ALVARADO"/>
    <x v="7"/>
    <s v="CC2"/>
    <s v="ACTIVO"/>
    <n v="164"/>
    <n v="6"/>
    <n v="16"/>
    <n v="6"/>
    <n v="9.3333333333333339"/>
    <n v="10"/>
    <n v="11"/>
    <n v="12"/>
  </r>
  <r>
    <s v="CRISTEL TAPIA RODRIGUEZ"/>
    <x v="3"/>
    <s v="JV"/>
    <s v="ACTIVO"/>
    <n v="249"/>
    <n v="11"/>
    <n v="7"/>
    <n v="10"/>
    <n v="9.3333333333333339"/>
    <n v="10"/>
    <n v="11"/>
    <n v="11"/>
  </r>
  <r>
    <s v="DIEGO IVAN RODRIGUEZ ALVAREZ"/>
    <x v="7"/>
    <s v="CC2"/>
    <s v="ACTIVO"/>
    <n v="284"/>
    <n v="7"/>
    <n v="11"/>
    <n v="10"/>
    <n v="9.3333333333333339"/>
    <n v="11"/>
    <n v="11"/>
    <n v="12"/>
  </r>
  <r>
    <s v="KENIA ELIZABETH DE LA FUENTE VAZQUEZ"/>
    <x v="7"/>
    <s v="CC2"/>
    <s v="ACTIVO"/>
    <n v="102"/>
    <n v="5"/>
    <n v="11"/>
    <n v="12"/>
    <n v="9.3333333333333339"/>
    <n v="9"/>
    <n v="11"/>
    <n v="12"/>
  </r>
  <r>
    <s v="KEVIN ALEJANDRO PEREZ COBOS"/>
    <x v="1"/>
    <s v="CC2"/>
    <s v="ACTIVO"/>
    <n v="235"/>
    <n v="10"/>
    <n v="8"/>
    <n v="10"/>
    <n v="9.3333333333333339"/>
    <n v="10"/>
    <n v="11"/>
    <n v="11"/>
  </r>
  <r>
    <s v="OBED COSME SANCHEZ PADILLA"/>
    <x v="7"/>
    <s v="CC2"/>
    <s v="ACTIVO"/>
    <n v="263"/>
    <n v="8"/>
    <n v="10"/>
    <n v="10"/>
    <n v="9.3333333333333339"/>
    <n v="9"/>
    <n v="11"/>
    <n v="12"/>
  </r>
  <r>
    <s v="XIMENA JUAREZ VILLARAUZ"/>
    <x v="1"/>
    <s v="CC2"/>
    <s v="ACTIVO"/>
    <n v="263"/>
    <n v="6"/>
    <n v="10"/>
    <n v="12"/>
    <n v="9.3333333333333339"/>
    <n v="9"/>
    <n v="11"/>
    <n v="11"/>
  </r>
  <r>
    <s v="MARIA DEL CORAL FLORES LOPEZ"/>
    <x v="5"/>
    <s v="JV"/>
    <s v="ACTIVO"/>
    <n v="520"/>
    <n v="13"/>
    <n v="6"/>
    <n v="7"/>
    <n v="8.6666666666666661"/>
    <n v="11"/>
    <n v="10"/>
    <n v="11"/>
  </r>
  <r>
    <s v="KATHIA ESTEFANIA PEREZ MERCADO"/>
    <x v="7"/>
    <s v="CC2"/>
    <s v="ACTIVO"/>
    <n v="95"/>
    <n v="7"/>
    <n v="11"/>
    <n v="8"/>
    <n v="8.6666666666666661"/>
    <n v="10"/>
    <n v="10"/>
    <n v="12"/>
  </r>
  <r>
    <s v="ALONDRA GONZALEZ LUCAS"/>
    <x v="7"/>
    <s v="CC2"/>
    <s v="ACTIVO"/>
    <n v="214"/>
    <n v="4"/>
    <n v="12"/>
    <n v="8"/>
    <n v="8"/>
    <n v="9"/>
    <n v="9"/>
    <n v="10"/>
  </r>
  <r>
    <s v="FERNANDO REYNA SANCHEZ"/>
    <x v="6"/>
    <s v="CC2"/>
    <s v="ACTIVO"/>
    <n v="270"/>
    <n v="5"/>
    <n v="10"/>
    <n v="9"/>
    <n v="8"/>
    <n v="9"/>
    <n v="9"/>
    <n v="11"/>
  </r>
  <r>
    <s v="ANGEL AARON GARCIA CANO PATIÑO"/>
    <x v="5"/>
    <s v="JV"/>
    <s v="ACTIVO"/>
    <n v="228"/>
    <n v="10"/>
    <n v="6"/>
    <n v="7"/>
    <n v="7.666666666666667"/>
    <n v="9"/>
    <n v="9"/>
    <n v="9"/>
  </r>
  <r>
    <s v="URIEL GIOVANNI LOPEZ ROJAS"/>
    <x v="3"/>
    <s v="JV"/>
    <s v="ACTIVO"/>
    <n v="74"/>
    <n v="2"/>
    <n v="7"/>
    <n v="8"/>
    <n v="7.5"/>
    <n v="7"/>
    <n v="9"/>
    <n v="10"/>
  </r>
  <r>
    <s v="JESUS GUADALUPE BARRANCO GARCIA"/>
    <x v="4"/>
    <s v="CC2"/>
    <s v="ACTIVO"/>
    <n v="164"/>
    <n v="7"/>
    <n v="5"/>
    <n v="10"/>
    <n v="7.333333333333333"/>
    <n v="8"/>
    <n v="9"/>
    <n v="11"/>
  </r>
  <r>
    <s v="KEVIN ALEJANDRO ROJAS BALBUENA"/>
    <x v="6"/>
    <s v="CC2"/>
    <s v="ACTIVO"/>
    <n v="102"/>
    <n v="7"/>
    <n v="8"/>
    <n v="7"/>
    <n v="7.333333333333333"/>
    <n v="9"/>
    <n v="9"/>
    <n v="10"/>
  </r>
  <r>
    <s v="MARIA GUADALUPE ROSAS GODOS"/>
    <x v="5"/>
    <s v="JV"/>
    <s v="ACTIVO"/>
    <n v="402"/>
    <n v="7"/>
    <n v="5"/>
    <n v="10"/>
    <n v="7.333333333333333"/>
    <n v="8"/>
    <n v="9"/>
    <n v="9"/>
  </r>
  <r>
    <s v="FELIPE EMMANUEL SANTOS LOPEZ"/>
    <x v="7"/>
    <s v="CC2"/>
    <s v="ACTIVO"/>
    <n v="186"/>
    <n v="6"/>
    <n v="8"/>
    <n v="7"/>
    <n v="7"/>
    <n v="9"/>
    <n v="8"/>
    <n v="9"/>
  </r>
  <r>
    <s v="SALIM BERENICE ROMERO TOSCOYOA"/>
    <x v="4"/>
    <s v="CC2"/>
    <s v="ACTIVO"/>
    <n v="102"/>
    <n v="5"/>
    <n v="10"/>
    <n v="6"/>
    <n v="7"/>
    <n v="9"/>
    <n v="8"/>
    <n v="10"/>
  </r>
  <r>
    <s v="JOSUE BRAVO NIEVES"/>
    <x v="6"/>
    <s v="CC2"/>
    <s v="ACTIVO"/>
    <n v="193"/>
    <n v="7"/>
    <n v="9"/>
    <n v="4"/>
    <n v="6.666666666666667"/>
    <n v="9"/>
    <n v="8"/>
    <n v="10"/>
  </r>
  <r>
    <s v="ALEXIS RIVERA MENDEZ"/>
    <x v="7"/>
    <s v="CC2"/>
    <s v="ACTIVO"/>
    <n v="291"/>
    <n v="7"/>
    <n v="6"/>
    <n v="5"/>
    <n v="6"/>
    <n v="9"/>
    <n v="8"/>
    <n v="9"/>
  </r>
  <r>
    <s v="ANDRES TELLEZ CRUZ"/>
    <x v="2"/>
    <s v="CC2"/>
    <s v="ACTIVO"/>
    <n v="144"/>
    <n v="7"/>
    <n v="7"/>
    <n v="7"/>
    <n v="7"/>
    <n v="8"/>
    <n v="8"/>
    <n v="9"/>
  </r>
  <r>
    <s v="CRISTIAN AMOROS CANO"/>
    <x v="6"/>
    <s v="CC2"/>
    <s v="ACTIVO"/>
    <n v="312"/>
    <n v="3"/>
    <n v="10"/>
    <n v="8"/>
    <n v="7"/>
    <n v="8"/>
    <n v="8"/>
    <n v="10"/>
  </r>
  <r>
    <s v="DYLAN URIEL DOMINGUEZ FLORENCIA"/>
    <x v="6"/>
    <s v="CC2"/>
    <s v="ACTIVO"/>
    <n v="228"/>
    <n v="10"/>
    <n v="6"/>
    <n v="5"/>
    <n v="7"/>
    <n v="8"/>
    <n v="8"/>
    <n v="10"/>
  </r>
  <r>
    <s v="MARIA FERNANDA OROPEZA DE LUNA"/>
    <x v="2"/>
    <s v="CC2"/>
    <s v="ACTIVO"/>
    <n v="109"/>
    <n v="5"/>
    <n v="6"/>
    <n v="10"/>
    <n v="7"/>
    <n v="7"/>
    <n v="8"/>
    <n v="11"/>
  </r>
  <r>
    <s v="ALEX HERNANDEZ REYES"/>
    <x v="4"/>
    <s v="CC2"/>
    <s v="ACTIVO"/>
    <n v="172"/>
    <n v="6"/>
    <n v="6"/>
    <n v="8"/>
    <n v="6.666666666666667"/>
    <n v="7"/>
    <n v="8"/>
    <n v="10"/>
  </r>
  <r>
    <s v="ERIKA DEL SOCORRO FLORES FRANCO"/>
    <x v="1"/>
    <s v="CC2"/>
    <s v="ACTIVO"/>
    <n v="144"/>
    <n v="9"/>
    <n v="8"/>
    <n v="3"/>
    <n v="6.666666666666667"/>
    <n v="8"/>
    <n v="8"/>
    <n v="8"/>
  </r>
  <r>
    <s v="GABRIEL HUERTA LUCERO"/>
    <x v="2"/>
    <s v="CC2"/>
    <s v="ACTIVO"/>
    <n v="164"/>
    <n v="7"/>
    <n v="4"/>
    <n v="9"/>
    <n v="6.666666666666667"/>
    <n v="8"/>
    <n v="8"/>
    <n v="10"/>
  </r>
  <r>
    <s v="JESUS OZAIR RUIZ ORTIGOZA"/>
    <x v="4"/>
    <s v="CC2"/>
    <s v="ACTIVO"/>
    <n v="102"/>
    <n v="6"/>
    <n v="8"/>
    <n v="6"/>
    <n v="6.666666666666667"/>
    <n v="8"/>
    <n v="8"/>
    <n v="9"/>
  </r>
  <r>
    <s v="YARUMI ALBINO AGUILAR"/>
    <x v="7"/>
    <s v="CC2"/>
    <s v="ACTIVO"/>
    <n v="102"/>
    <n v="3"/>
    <n v="6"/>
    <n v="11"/>
    <n v="6.666666666666667"/>
    <n v="7"/>
    <n v="8"/>
    <n v="10"/>
  </r>
  <r>
    <s v="YONATAN ARMAS ROLDAN"/>
    <x v="3"/>
    <s v="JV"/>
    <s v="ACTIVO"/>
    <n v="172"/>
    <n v="7"/>
    <n v="7"/>
    <n v="6"/>
    <n v="6.666666666666667"/>
    <n v="8"/>
    <n v="8"/>
    <n v="8"/>
  </r>
  <r>
    <s v="ISAAC PAREDES CORDERO"/>
    <x v="2"/>
    <s v="CC2"/>
    <s v="ACTIVO"/>
    <n v="284"/>
    <n v="7"/>
    <n v="6"/>
    <n v="6"/>
    <n v="6.333333333333333"/>
    <n v="7"/>
    <n v="8"/>
    <n v="8"/>
  </r>
  <r>
    <s v="EDUARDO MELENDEZ GARCIA"/>
    <x v="6"/>
    <s v="CC2"/>
    <s v="ACTIVO"/>
    <n v="151"/>
    <n v="4"/>
    <n v="5"/>
    <n v="9"/>
    <n v="6"/>
    <n v="7"/>
    <n v="8"/>
    <n v="10"/>
  </r>
  <r>
    <s v="JOSHUA LOPEZ MUNGUIA"/>
    <x v="0"/>
    <s v="JV"/>
    <s v="ACTIVO"/>
    <n v="95"/>
    <n v="3"/>
    <n v="5"/>
    <n v="10"/>
    <n v="6"/>
    <n v="7"/>
    <n v="8"/>
    <n v="8"/>
  </r>
  <r>
    <s v="FRIDA RODRIGUEZ GARCIA"/>
    <x v="1"/>
    <s v="CC2"/>
    <s v="ACTIVO"/>
    <n v="45"/>
    <n v="0"/>
    <n v="1"/>
    <n v="10"/>
    <n v="5.5"/>
    <n v="6"/>
    <n v="7"/>
    <n v="8"/>
  </r>
  <r>
    <s v="NORWIN LOT ROJAS GARCIA"/>
    <x v="5"/>
    <s v="JV"/>
    <s v="ACTIVO"/>
    <n v="67"/>
    <n v="0"/>
    <n v="4"/>
    <n v="7"/>
    <n v="5.5"/>
    <n v="6"/>
    <n v="7"/>
    <n v="9"/>
  </r>
  <r>
    <s v="ALEX ROBERTO ARENAS ESTRADA"/>
    <x v="3"/>
    <s v="JV"/>
    <s v="ACTIVO"/>
    <n v="45"/>
    <n v="0"/>
    <n v="2"/>
    <n v="8"/>
    <n v="5"/>
    <n v="6"/>
    <n v="7"/>
    <n v="10"/>
  </r>
  <r>
    <s v="PAOLA DANAE TEYSSIER HERNANDEZ"/>
    <x v="7"/>
    <s v="CC2"/>
    <s v="ACTIVO"/>
    <n v="102"/>
    <n v="4"/>
    <n v="6"/>
    <n v="5"/>
    <n v="5"/>
    <n v="7"/>
    <n v="7"/>
    <n v="8"/>
  </r>
  <r>
    <s v="YAROL GOMEZ SANCHEZ"/>
    <x v="4"/>
    <s v="CC2"/>
    <s v="ACTIVO"/>
    <n v="45"/>
    <n v="0"/>
    <n v="1"/>
    <n v="8"/>
    <n v="4.5"/>
    <n v="6"/>
    <n v="7"/>
    <n v="10"/>
  </r>
  <r>
    <s v="MARIA TERESA IVONNE AGUILAR DOMINGUEZ"/>
    <x v="7"/>
    <s v="CC2"/>
    <s v="ACTIVO"/>
    <n v="116"/>
    <n v="3"/>
    <n v="5"/>
    <n v="5"/>
    <n v="4.333333333333333"/>
    <n v="7"/>
    <n v="7"/>
    <n v="8"/>
  </r>
  <r>
    <s v="FROYLAN YAÑEZ ROJAS"/>
    <x v="2"/>
    <s v="CC2"/>
    <s v="ACTIVO"/>
    <n v="151"/>
    <n v="8"/>
    <n v="1"/>
    <n v="3"/>
    <n v="4"/>
    <n v="7"/>
    <n v="7"/>
    <n v="9"/>
  </r>
  <r>
    <s v="JESSICA HERNANDEZ GRIJALVA"/>
    <x v="2"/>
    <s v="CC2"/>
    <s v="ACTIVO"/>
    <n v="130"/>
    <n v="5"/>
    <n v="3"/>
    <n v="4"/>
    <n v="4"/>
    <n v="7"/>
    <n v="7"/>
    <n v="8"/>
  </r>
  <r>
    <s v="HECTOR JAVIER PEREA GARCIA"/>
    <x v="0"/>
    <s v="JV"/>
    <s v="ACTIVO"/>
    <n v="53"/>
    <n v="0"/>
    <n v="2"/>
    <n v="5"/>
    <n v="3.5"/>
    <n v="6"/>
    <n v="7"/>
    <n v="7"/>
  </r>
  <r>
    <s v="MARIO ALEJANDRO CORTES MENDEZ"/>
    <x v="3"/>
    <s v="JV"/>
    <s v="ACTIVO"/>
    <n v="102"/>
    <n v="1"/>
    <n v="5"/>
    <n v="4"/>
    <n v="3.333333333333333"/>
    <n v="7"/>
    <n v="7"/>
    <n v="8"/>
  </r>
  <r>
    <s v="OLGA EMILIA CONDE GONZALEZ"/>
    <x v="0"/>
    <s v="JV"/>
    <s v="ACTIVO"/>
    <n v="53"/>
    <n v="0"/>
    <n v="2"/>
    <n v="1"/>
    <n v="1.5"/>
    <n v="6"/>
    <n v="7"/>
    <n v="7"/>
  </r>
  <r>
    <s v="MARIA JOSE TELLEZ MUÑOZ"/>
    <x v="6"/>
    <s v="CC2"/>
    <s v="ACTIVO"/>
    <n v="32"/>
    <n v="0"/>
    <n v="0"/>
    <n v="4"/>
    <n v="4"/>
    <n v="6"/>
    <n v="6"/>
    <n v="7"/>
  </r>
  <r>
    <s v="OMAR CAMPOS JIMENEZ"/>
    <x v="7"/>
    <s v="CC2"/>
    <s v="ACTIVO"/>
    <n v="39"/>
    <n v="0"/>
    <n v="0"/>
    <n v="4"/>
    <n v="4"/>
    <n v="6"/>
    <n v="6"/>
    <n v="6"/>
  </r>
  <r>
    <s v="JOSE DIEGO JARAMILLO HERNANDEZ"/>
    <x v="3"/>
    <s v="JV"/>
    <s v="ACTIVO"/>
    <n v="11"/>
    <n v="0"/>
    <n v="0"/>
    <n v="1"/>
    <n v="1"/>
    <n v="6"/>
    <n v="6"/>
    <n v="6"/>
  </r>
  <r>
    <s v="MONSERRAT FLORES RIVAS"/>
    <x v="4"/>
    <s v="CC2"/>
    <s v="ACTIVO"/>
    <n v="11"/>
    <n v="0"/>
    <n v="0"/>
    <n v="1"/>
    <n v="1"/>
    <n v="6"/>
    <n v="6"/>
    <n v="6"/>
  </r>
  <r>
    <s v="SANTIAGO JIMENEZ CHAVEZ"/>
    <x v="2"/>
    <s v="CC2"/>
    <s v="ACTIVO"/>
    <n v="18"/>
    <n v="0"/>
    <n v="0"/>
    <n v="1"/>
    <n v="1"/>
    <n v="6"/>
    <n v="6"/>
    <n v="6"/>
  </r>
  <r>
    <s v="DAVID CAMACHO JACOME"/>
    <x v="6"/>
    <s v="CC2"/>
    <s v="ACTIVO"/>
    <n v="32"/>
    <n v="0"/>
    <n v="0"/>
    <n v="0"/>
    <n v="0"/>
    <n v="6"/>
    <n v="6"/>
    <n v="6"/>
  </r>
  <r>
    <s v="EDITH HERNANDEZ RAMIREZ"/>
    <x v="5"/>
    <s v="CC2"/>
    <s v="ACTIVO"/>
    <n v="11"/>
    <n v="0"/>
    <n v="0"/>
    <n v="0"/>
    <n v="0"/>
    <n v="6"/>
    <n v="6"/>
    <n v="6"/>
  </r>
  <r>
    <s v="JUAN MANUEL SUMANO PAREDES"/>
    <x v="8"/>
    <s v="JV"/>
    <s v="ACTIVO"/>
    <n v="4"/>
    <n v="0"/>
    <n v="0"/>
    <n v="0"/>
    <n v="0"/>
    <n v="6"/>
    <n v="6"/>
    <n v="0"/>
  </r>
  <r>
    <s v="LETICIA VICENTE SANTOS"/>
    <x v="8"/>
    <s v="JV"/>
    <s v="ACTIVO"/>
    <n v="4"/>
    <n v="0"/>
    <n v="0"/>
    <n v="0"/>
    <n v="0"/>
    <n v="6"/>
    <n v="6"/>
    <n v="0"/>
  </r>
  <r>
    <s v="LIDYA ARACELI PINEDA MUSTRE"/>
    <x v="4"/>
    <s v="CC2"/>
    <s v="ACTIVO"/>
    <n v="11"/>
    <n v="0"/>
    <n v="0"/>
    <n v="0"/>
    <n v="0"/>
    <n v="6"/>
    <n v="6"/>
    <n v="6"/>
  </r>
  <r>
    <s v="LUIS ANGEL REYES UREÑA"/>
    <x v="8"/>
    <s v="JV"/>
    <s v="ACTIVO"/>
    <n v="4"/>
    <n v="0"/>
    <n v="0"/>
    <n v="0"/>
    <n v="0"/>
    <n v="6"/>
    <n v="6"/>
    <n v="0"/>
  </r>
  <r>
    <s v="LUIS ROBERTO AGUILAR MARTINEZ"/>
    <x v="8"/>
    <s v="JV"/>
    <s v="ACTIVO"/>
    <n v="4"/>
    <n v="0"/>
    <n v="0"/>
    <n v="0"/>
    <n v="0"/>
    <n v="6"/>
    <n v="6"/>
    <n v="0"/>
  </r>
  <r>
    <s v="OWEN YAEL LAZARO OLVERA"/>
    <x v="2"/>
    <s v="CC2"/>
    <s v="ACTIVO"/>
    <n v="4"/>
    <n v="0"/>
    <n v="0"/>
    <n v="0"/>
    <n v="0"/>
    <n v="6"/>
    <n v="6"/>
    <n v="0"/>
  </r>
  <r>
    <s v="RAMMSES JUAREZ ROMERO"/>
    <x v="8"/>
    <s v="JV"/>
    <s v="ACTIVO"/>
    <n v="4"/>
    <n v="0"/>
    <n v="0"/>
    <n v="0"/>
    <n v="0"/>
    <n v="6"/>
    <n v="6"/>
    <n v="0"/>
  </r>
  <r>
    <s v="VIVIANA RAMOS PERCINO"/>
    <x v="8"/>
    <s v="JV"/>
    <s v="ACTIVO"/>
    <n v="4"/>
    <n v="0"/>
    <n v="0"/>
    <n v="0"/>
    <n v="0"/>
    <n v="6"/>
    <n v="6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C9E9EA-B7B9-0849-A628-4637C6CE6705}" name="TablaDinámica2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12" firstHeaderRow="0" firstDataRow="1" firstDataCol="1"/>
  <pivotFields count="12">
    <pivotField dataField="1" showAll="0"/>
    <pivotField axis="axisRow" showAll="0" sortType="descending">
      <items count="10">
        <item x="2"/>
        <item x="4"/>
        <item x="6"/>
        <item h="1" x="8"/>
        <item x="7"/>
        <item x="5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9">
    <i>
      <x v="8"/>
    </i>
    <i>
      <x v="7"/>
    </i>
    <i>
      <x v="4"/>
    </i>
    <i>
      <x/>
    </i>
    <i>
      <x v="1"/>
    </i>
    <i>
      <x v="2"/>
    </i>
    <i>
      <x v="6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meta_mes_actual" fld="11" baseField="0" baseItem="0"/>
    <dataField name="Cuenta de EJECUTIV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5F800E-CFEE-0C45-B01F-74271CAE54DF}" name="Tabla1" displayName="Tabla1" ref="A1:F98" totalsRowShown="0" headerRowDxfId="9" dataDxfId="7" headerRowBorderDxfId="8" tableBorderDxfId="6">
  <autoFilter ref="A1:F98" xr:uid="{00000000-0001-0000-0000-000000000000}"/>
  <tableColumns count="6">
    <tableColumn id="1" xr3:uid="{A3BDB502-887E-CC4D-BF93-26A5EC8556E2}" name="EJECUTIVO" dataDxfId="5"/>
    <tableColumn id="2" xr3:uid="{8E4F8B60-D2B4-F14F-B330-C6089E319C51}" name="Supervisor" dataDxfId="4"/>
    <tableColumn id="3" xr3:uid="{F941DF7F-3009-C34B-B439-569B6D6D5F4F}" name="CentroKey" dataDxfId="3"/>
    <tableColumn id="4" xr3:uid="{168C2429-8C8D-A640-9F67-BB46C2079544}" name="status" dataDxfId="2"/>
    <tableColumn id="5" xr3:uid="{AAF86174-84F3-FF44-86B9-D9A32827241B}" name="dias_activo_al_1ro" dataDxfId="1"/>
    <tableColumn id="6" xr3:uid="{86F89965-1839-C64B-BBEA-9273AF9C9E36}" name="meta_mes_actual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0BC4D-496D-AE4A-8797-254B30C339E2}">
  <dimension ref="A2:D12"/>
  <sheetViews>
    <sheetView zoomScale="130" zoomScaleNormal="130" workbookViewId="0">
      <selection activeCell="C7" sqref="C7"/>
    </sheetView>
  </sheetViews>
  <sheetFormatPr defaultColWidth="11.5546875" defaultRowHeight="14.4"/>
  <cols>
    <col min="1" max="1" width="30.44140625" bestFit="1" customWidth="1"/>
    <col min="2" max="2" width="21.77734375" bestFit="1" customWidth="1"/>
    <col min="3" max="3" width="17.6640625" bestFit="1" customWidth="1"/>
    <col min="4" max="4" width="17.6640625" customWidth="1"/>
  </cols>
  <sheetData>
    <row r="2" spans="1:4">
      <c r="A2" s="10" t="s">
        <v>118</v>
      </c>
      <c r="B2" s="10"/>
      <c r="C2" s="10"/>
      <c r="D2" s="4"/>
    </row>
    <row r="3" spans="1:4">
      <c r="A3" s="1" t="s">
        <v>114</v>
      </c>
      <c r="B3" t="s">
        <v>116</v>
      </c>
      <c r="C3" t="s">
        <v>117</v>
      </c>
      <c r="D3" s="3" t="s">
        <v>119</v>
      </c>
    </row>
    <row r="4" spans="1:4">
      <c r="A4" s="2" t="s">
        <v>11</v>
      </c>
      <c r="B4">
        <v>188</v>
      </c>
      <c r="C4">
        <v>15</v>
      </c>
      <c r="D4" s="6">
        <f>+GETPIVOTDATA("Suma de meta_mes_actual",$A$3,"Supervisor","REYNA LIZZETTE MARTINEZ GARCIA")/GETPIVOTDATA("Cuenta de EJECUTIVO",$A$3,"Supervisor","REYNA LIZZETTE MARTINEZ GARCIA")</f>
        <v>12.533333333333333</v>
      </c>
    </row>
    <row r="5" spans="1:4">
      <c r="A5" s="2" t="s">
        <v>7</v>
      </c>
      <c r="B5">
        <v>161</v>
      </c>
      <c r="C5">
        <v>12</v>
      </c>
      <c r="D5" s="6">
        <f>+GETPIVOTDATA("Suma de meta_mes_actual",$A$3,"Supervisor","JORGE MIGUEL UREÑA ZARATE")/GETPIVOTDATA("Cuenta de EJECUTIVO",$A$3,"Supervisor","JORGE MIGUEL UREÑA ZARATE")</f>
        <v>13.416666666666666</v>
      </c>
    </row>
    <row r="6" spans="1:4">
      <c r="A6" s="2" t="s">
        <v>46</v>
      </c>
      <c r="B6">
        <v>156</v>
      </c>
      <c r="C6">
        <v>15</v>
      </c>
      <c r="D6" s="6">
        <f>+GETPIVOTDATA("Suma de meta_mes_actual",$A$3,"Supervisor","CARLOS ALBERTO AGUILAR CANO")/GETPIVOTDATA("Cuenta de EJECUTIVO",$A$3,"Supervisor","CARLOS ALBERTO AGUILAR CANO")</f>
        <v>10.4</v>
      </c>
    </row>
    <row r="7" spans="1:4">
      <c r="A7" s="2" t="s">
        <v>15</v>
      </c>
      <c r="B7">
        <v>121</v>
      </c>
      <c r="C7">
        <v>12</v>
      </c>
      <c r="D7" s="6">
        <f>+GETPIVOTDATA("Suma de meta_mes_actual",$A$3,"Supervisor","ALAN UZIEL SALAZAR AGUILAR")/GETPIVOTDATA("Cuenta de EJECUTIVO",$A$3,"Supervisor","ALAN UZIEL SALAZAR AGUILAR")</f>
        <v>10.083333333333334</v>
      </c>
    </row>
    <row r="8" spans="1:4">
      <c r="A8" s="2" t="s">
        <v>22</v>
      </c>
      <c r="B8">
        <v>116</v>
      </c>
      <c r="C8">
        <v>11</v>
      </c>
      <c r="D8" s="6">
        <f>+GETPIVOTDATA("Suma de meta_mes_actual",$A$3,"Supervisor","ALFREDO CABRERA PADRON")/GETPIVOTDATA("Cuenta de EJECUTIVO",$A$3,"Supervisor","ALFREDO CABRERA PADRON")</f>
        <v>10.545454545454545</v>
      </c>
    </row>
    <row r="9" spans="1:4">
      <c r="A9" s="2" t="s">
        <v>62</v>
      </c>
      <c r="B9">
        <v>100</v>
      </c>
      <c r="C9">
        <v>10</v>
      </c>
      <c r="D9" s="6">
        <f>+GETPIVOTDATA("Suma de meta_mes_actual",$A$3,"Supervisor","ANA PAOLA DE LA FUENTE GUARNEROS")/GETPIVOTDATA("Cuenta de EJECUTIVO",$A$3,"Supervisor","ANA PAOLA DE LA FUENTE GUARNEROS")</f>
        <v>10</v>
      </c>
    </row>
    <row r="10" spans="1:4">
      <c r="A10" s="2" t="s">
        <v>113</v>
      </c>
      <c r="B10">
        <v>87</v>
      </c>
      <c r="C10">
        <v>8</v>
      </c>
      <c r="D10" s="6">
        <f>+GETPIVOTDATA("Suma de meta_mes_actual",$A$3,"Supervisor","EMILIO RAFAEL CORNU AGUILAR ")/GETPIVOTDATA("Cuenta de EJECUTIVO",$A$3,"Supervisor","EMILIO RAFAEL CORNU AGUILAR ")</f>
        <v>10.875</v>
      </c>
    </row>
    <row r="11" spans="1:4">
      <c r="A11" s="2" t="s">
        <v>102</v>
      </c>
      <c r="B11">
        <v>82</v>
      </c>
      <c r="C11">
        <v>8</v>
      </c>
      <c r="D11" s="6">
        <f>+GETPIVOTDATA("Suma de meta_mes_actual",$A$3,"Supervisor","CARMEN RIVAS GONZALEZ")/GETPIVOTDATA("Cuenta de EJECUTIVO",$A$3,"Supervisor","CARMEN RIVAS GONZALEZ")</f>
        <v>10.25</v>
      </c>
    </row>
    <row r="12" spans="1:4">
      <c r="A12" s="2" t="s">
        <v>115</v>
      </c>
      <c r="B12">
        <v>1011</v>
      </c>
      <c r="C12">
        <v>91</v>
      </c>
      <c r="D12" s="5">
        <f>+GETPIVOTDATA("Suma de meta_mes_actual",$A$3)/GETPIVOTDATA("Cuenta de EJECUTIVO",$A$3)</f>
        <v>11.109890109890109</v>
      </c>
    </row>
  </sheetData>
  <mergeCells count="1"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8"/>
  <sheetViews>
    <sheetView tabSelected="1" workbookViewId="0">
      <selection activeCell="C90" sqref="C90"/>
    </sheetView>
  </sheetViews>
  <sheetFormatPr defaultColWidth="8.77734375" defaultRowHeight="14.4"/>
  <cols>
    <col min="1" max="1" width="39" customWidth="1"/>
    <col min="2" max="2" width="32" customWidth="1"/>
    <col min="3" max="3" width="11.6640625" customWidth="1"/>
    <col min="4" max="4" width="8" customWidth="1"/>
    <col min="5" max="5" width="20" customWidth="1"/>
    <col min="6" max="6" width="17" customWidth="1"/>
  </cols>
  <sheetData>
    <row r="1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>
      <c r="A2" s="7" t="s">
        <v>6</v>
      </c>
      <c r="B2" s="7" t="s">
        <v>7</v>
      </c>
      <c r="C2" s="7" t="s">
        <v>8</v>
      </c>
      <c r="D2" s="7" t="s">
        <v>9</v>
      </c>
      <c r="E2" s="7">
        <v>256</v>
      </c>
      <c r="F2" s="8">
        <v>20</v>
      </c>
    </row>
    <row r="3" spans="1:6">
      <c r="A3" s="7" t="s">
        <v>10</v>
      </c>
      <c r="B3" s="7" t="s">
        <v>11</v>
      </c>
      <c r="C3" s="7" t="s">
        <v>12</v>
      </c>
      <c r="D3" s="7" t="s">
        <v>9</v>
      </c>
      <c r="E3" s="7">
        <v>256</v>
      </c>
      <c r="F3" s="8">
        <v>20</v>
      </c>
    </row>
    <row r="4" spans="1:6">
      <c r="A4" s="7" t="s">
        <v>13</v>
      </c>
      <c r="B4" s="7" t="s">
        <v>7</v>
      </c>
      <c r="C4" s="7" t="s">
        <v>8</v>
      </c>
      <c r="D4" s="7" t="s">
        <v>9</v>
      </c>
      <c r="E4" s="7">
        <v>151</v>
      </c>
      <c r="F4" s="8">
        <v>18</v>
      </c>
    </row>
    <row r="5" spans="1:6">
      <c r="A5" s="7" t="s">
        <v>14</v>
      </c>
      <c r="B5" s="7" t="s">
        <v>15</v>
      </c>
      <c r="C5" s="7" t="s">
        <v>12</v>
      </c>
      <c r="D5" s="7" t="s">
        <v>9</v>
      </c>
      <c r="E5" s="7">
        <v>298</v>
      </c>
      <c r="F5" s="8">
        <v>17</v>
      </c>
    </row>
    <row r="6" spans="1:6">
      <c r="A6" s="7" t="s">
        <v>16</v>
      </c>
      <c r="B6" s="7" t="s">
        <v>113</v>
      </c>
      <c r="C6" s="7" t="s">
        <v>8</v>
      </c>
      <c r="D6" s="7" t="s">
        <v>9</v>
      </c>
      <c r="E6" s="7">
        <v>179</v>
      </c>
      <c r="F6" s="8">
        <v>17</v>
      </c>
    </row>
    <row r="7" spans="1:6">
      <c r="A7" s="7" t="s">
        <v>17</v>
      </c>
      <c r="B7" s="7" t="s">
        <v>113</v>
      </c>
      <c r="C7" s="7" t="s">
        <v>8</v>
      </c>
      <c r="D7" s="7" t="s">
        <v>9</v>
      </c>
      <c r="E7" s="7">
        <v>360</v>
      </c>
      <c r="F7" s="8">
        <v>17</v>
      </c>
    </row>
    <row r="8" spans="1:6">
      <c r="A8" s="7" t="s">
        <v>18</v>
      </c>
      <c r="B8" s="7" t="s">
        <v>7</v>
      </c>
      <c r="C8" s="7" t="s">
        <v>8</v>
      </c>
      <c r="D8" s="7" t="s">
        <v>9</v>
      </c>
      <c r="E8" s="7">
        <v>624</v>
      </c>
      <c r="F8" s="8">
        <v>16</v>
      </c>
    </row>
    <row r="9" spans="1:6">
      <c r="A9" s="7" t="s">
        <v>19</v>
      </c>
      <c r="B9" s="7" t="s">
        <v>15</v>
      </c>
      <c r="C9" s="7" t="s">
        <v>12</v>
      </c>
      <c r="D9" s="7" t="s">
        <v>9</v>
      </c>
      <c r="E9" s="7">
        <v>164</v>
      </c>
      <c r="F9" s="8">
        <v>16</v>
      </c>
    </row>
    <row r="10" spans="1:6">
      <c r="A10" s="7" t="s">
        <v>20</v>
      </c>
      <c r="B10" s="7" t="s">
        <v>7</v>
      </c>
      <c r="C10" s="7" t="s">
        <v>8</v>
      </c>
      <c r="D10" s="7" t="s">
        <v>9</v>
      </c>
      <c r="E10" s="7">
        <v>277</v>
      </c>
      <c r="F10" s="8">
        <v>16</v>
      </c>
    </row>
    <row r="11" spans="1:6">
      <c r="A11" s="7" t="s">
        <v>21</v>
      </c>
      <c r="B11" s="7" t="s">
        <v>22</v>
      </c>
      <c r="C11" s="7" t="s">
        <v>12</v>
      </c>
      <c r="D11" s="7" t="s">
        <v>9</v>
      </c>
      <c r="E11" s="7">
        <v>207</v>
      </c>
      <c r="F11" s="8">
        <v>15</v>
      </c>
    </row>
    <row r="12" spans="1:6">
      <c r="A12" s="7" t="s">
        <v>23</v>
      </c>
      <c r="B12" s="7" t="s">
        <v>7</v>
      </c>
      <c r="C12" s="7" t="s">
        <v>8</v>
      </c>
      <c r="D12" s="7" t="s">
        <v>9</v>
      </c>
      <c r="E12" s="7">
        <v>632</v>
      </c>
      <c r="F12" s="8">
        <v>15</v>
      </c>
    </row>
    <row r="13" spans="1:6">
      <c r="A13" s="7" t="s">
        <v>24</v>
      </c>
      <c r="B13" s="7" t="s">
        <v>102</v>
      </c>
      <c r="C13" s="7" t="s">
        <v>8</v>
      </c>
      <c r="D13" s="7" t="s">
        <v>9</v>
      </c>
      <c r="E13" s="7">
        <v>473</v>
      </c>
      <c r="F13" s="8">
        <v>15</v>
      </c>
    </row>
    <row r="14" spans="1:6">
      <c r="A14" s="7" t="s">
        <v>25</v>
      </c>
      <c r="B14" s="7" t="s">
        <v>11</v>
      </c>
      <c r="C14" s="7" t="s">
        <v>12</v>
      </c>
      <c r="D14" s="7" t="s">
        <v>9</v>
      </c>
      <c r="E14" s="7">
        <v>249</v>
      </c>
      <c r="F14" s="8">
        <v>15</v>
      </c>
    </row>
    <row r="15" spans="1:6">
      <c r="A15" s="7" t="s">
        <v>28</v>
      </c>
      <c r="B15" s="7" t="s">
        <v>15</v>
      </c>
      <c r="C15" s="7" t="s">
        <v>12</v>
      </c>
      <c r="D15" s="7" t="s">
        <v>9</v>
      </c>
      <c r="E15" s="7">
        <v>235</v>
      </c>
      <c r="F15" s="8">
        <v>15</v>
      </c>
    </row>
    <row r="16" spans="1:6">
      <c r="A16" s="7" t="s">
        <v>26</v>
      </c>
      <c r="B16" s="7" t="s">
        <v>11</v>
      </c>
      <c r="C16" s="7" t="s">
        <v>12</v>
      </c>
      <c r="D16" s="7" t="s">
        <v>9</v>
      </c>
      <c r="E16" s="7">
        <v>303</v>
      </c>
      <c r="F16" s="8">
        <v>14</v>
      </c>
    </row>
    <row r="17" spans="1:6">
      <c r="A17" s="7" t="s">
        <v>27</v>
      </c>
      <c r="B17" s="7" t="s">
        <v>7</v>
      </c>
      <c r="C17" s="7" t="s">
        <v>8</v>
      </c>
      <c r="D17" s="7" t="s">
        <v>9</v>
      </c>
      <c r="E17" s="7">
        <v>263</v>
      </c>
      <c r="F17" s="8">
        <v>14</v>
      </c>
    </row>
    <row r="18" spans="1:6">
      <c r="A18" s="7" t="s">
        <v>29</v>
      </c>
      <c r="B18" s="7" t="s">
        <v>7</v>
      </c>
      <c r="C18" s="7" t="s">
        <v>8</v>
      </c>
      <c r="D18" s="7" t="s">
        <v>9</v>
      </c>
      <c r="E18" s="7">
        <v>109</v>
      </c>
      <c r="F18" s="8">
        <v>14</v>
      </c>
    </row>
    <row r="19" spans="1:6">
      <c r="A19" s="7" t="s">
        <v>30</v>
      </c>
      <c r="B19" s="7" t="s">
        <v>11</v>
      </c>
      <c r="C19" s="7" t="s">
        <v>12</v>
      </c>
      <c r="D19" s="7" t="s">
        <v>9</v>
      </c>
      <c r="E19" s="7">
        <v>102</v>
      </c>
      <c r="F19" s="8">
        <v>13</v>
      </c>
    </row>
    <row r="20" spans="1:6">
      <c r="A20" s="7" t="s">
        <v>31</v>
      </c>
      <c r="B20" s="7" t="s">
        <v>11</v>
      </c>
      <c r="C20" s="7" t="s">
        <v>12</v>
      </c>
      <c r="D20" s="7" t="s">
        <v>9</v>
      </c>
      <c r="E20" s="7">
        <v>151</v>
      </c>
      <c r="F20" s="8">
        <v>13</v>
      </c>
    </row>
    <row r="21" spans="1:6">
      <c r="A21" s="7" t="s">
        <v>32</v>
      </c>
      <c r="B21" s="7" t="s">
        <v>11</v>
      </c>
      <c r="C21" s="7" t="s">
        <v>12</v>
      </c>
      <c r="D21" s="7" t="s">
        <v>9</v>
      </c>
      <c r="E21" s="7">
        <v>270</v>
      </c>
      <c r="F21" s="8">
        <v>13</v>
      </c>
    </row>
    <row r="22" spans="1:6">
      <c r="A22" s="7" t="s">
        <v>33</v>
      </c>
      <c r="B22" s="7" t="s">
        <v>62</v>
      </c>
      <c r="C22" s="7" t="s">
        <v>12</v>
      </c>
      <c r="D22" s="7" t="s">
        <v>9</v>
      </c>
      <c r="E22" s="7">
        <v>95</v>
      </c>
      <c r="F22" s="8">
        <v>13</v>
      </c>
    </row>
    <row r="23" spans="1:6">
      <c r="A23" s="7" t="s">
        <v>34</v>
      </c>
      <c r="B23" s="7" t="s">
        <v>11</v>
      </c>
      <c r="C23" s="7" t="s">
        <v>12</v>
      </c>
      <c r="D23" s="7" t="s">
        <v>9</v>
      </c>
      <c r="E23" s="7">
        <v>270</v>
      </c>
      <c r="F23" s="8">
        <v>13</v>
      </c>
    </row>
    <row r="24" spans="1:6">
      <c r="A24" s="7" t="s">
        <v>35</v>
      </c>
      <c r="B24" s="7" t="s">
        <v>11</v>
      </c>
      <c r="C24" s="7" t="s">
        <v>12</v>
      </c>
      <c r="D24" s="7" t="s">
        <v>9</v>
      </c>
      <c r="E24" s="7">
        <v>158</v>
      </c>
      <c r="F24" s="8">
        <v>13</v>
      </c>
    </row>
    <row r="25" spans="1:6">
      <c r="A25" s="7" t="s">
        <v>36</v>
      </c>
      <c r="B25" s="7" t="s">
        <v>62</v>
      </c>
      <c r="C25" s="7" t="s">
        <v>12</v>
      </c>
      <c r="D25" s="7" t="s">
        <v>9</v>
      </c>
      <c r="E25" s="7">
        <v>207</v>
      </c>
      <c r="F25" s="8">
        <v>13</v>
      </c>
    </row>
    <row r="26" spans="1:6">
      <c r="A26" s="7" t="s">
        <v>37</v>
      </c>
      <c r="B26" s="7" t="s">
        <v>7</v>
      </c>
      <c r="C26" s="7" t="s">
        <v>8</v>
      </c>
      <c r="D26" s="7" t="s">
        <v>9</v>
      </c>
      <c r="E26" s="7">
        <v>228</v>
      </c>
      <c r="F26" s="8">
        <v>13</v>
      </c>
    </row>
    <row r="27" spans="1:6">
      <c r="A27" s="7" t="s">
        <v>38</v>
      </c>
      <c r="B27" s="7" t="s">
        <v>7</v>
      </c>
      <c r="C27" s="7" t="s">
        <v>8</v>
      </c>
      <c r="D27" s="7" t="s">
        <v>9</v>
      </c>
      <c r="E27" s="7">
        <v>312</v>
      </c>
      <c r="F27" s="8">
        <v>13</v>
      </c>
    </row>
    <row r="28" spans="1:6">
      <c r="A28" s="7" t="s">
        <v>40</v>
      </c>
      <c r="B28" s="7" t="s">
        <v>22</v>
      </c>
      <c r="C28" s="7" t="s">
        <v>12</v>
      </c>
      <c r="D28" s="7" t="s">
        <v>9</v>
      </c>
      <c r="E28" s="7">
        <v>298</v>
      </c>
      <c r="F28" s="8">
        <v>13</v>
      </c>
    </row>
    <row r="29" spans="1:6">
      <c r="A29" s="7" t="s">
        <v>41</v>
      </c>
      <c r="B29" s="7" t="s">
        <v>22</v>
      </c>
      <c r="C29" s="7" t="s">
        <v>12</v>
      </c>
      <c r="D29" s="7" t="s">
        <v>9</v>
      </c>
      <c r="E29" s="7">
        <v>520</v>
      </c>
      <c r="F29" s="8">
        <v>13</v>
      </c>
    </row>
    <row r="30" spans="1:6">
      <c r="A30" s="7" t="s">
        <v>44</v>
      </c>
      <c r="B30" s="7" t="s">
        <v>22</v>
      </c>
      <c r="C30" s="7" t="s">
        <v>12</v>
      </c>
      <c r="D30" s="7" t="s">
        <v>9</v>
      </c>
      <c r="E30" s="7">
        <v>305</v>
      </c>
      <c r="F30" s="8">
        <v>13</v>
      </c>
    </row>
    <row r="31" spans="1:6">
      <c r="A31" s="7" t="s">
        <v>39</v>
      </c>
      <c r="B31" s="7" t="s">
        <v>11</v>
      </c>
      <c r="C31" s="7" t="s">
        <v>12</v>
      </c>
      <c r="D31" s="7" t="s">
        <v>9</v>
      </c>
      <c r="E31" s="7">
        <v>81</v>
      </c>
      <c r="F31" s="8">
        <v>12</v>
      </c>
    </row>
    <row r="32" spans="1:6">
      <c r="A32" s="7" t="s">
        <v>42</v>
      </c>
      <c r="B32" s="7" t="s">
        <v>11</v>
      </c>
      <c r="C32" s="7" t="s">
        <v>12</v>
      </c>
      <c r="D32" s="7" t="s">
        <v>9</v>
      </c>
      <c r="E32" s="7">
        <v>109</v>
      </c>
      <c r="F32" s="8">
        <v>12</v>
      </c>
    </row>
    <row r="33" spans="1:6">
      <c r="A33" s="7" t="s">
        <v>43</v>
      </c>
      <c r="B33" s="7" t="s">
        <v>102</v>
      </c>
      <c r="C33" s="7" t="s">
        <v>8</v>
      </c>
      <c r="D33" s="7" t="s">
        <v>9</v>
      </c>
      <c r="E33" s="7">
        <v>624</v>
      </c>
      <c r="F33" s="8">
        <v>12</v>
      </c>
    </row>
    <row r="34" spans="1:6">
      <c r="A34" s="7" t="s">
        <v>45</v>
      </c>
      <c r="B34" s="7" t="s">
        <v>46</v>
      </c>
      <c r="C34" s="7" t="s">
        <v>12</v>
      </c>
      <c r="D34" s="7" t="s">
        <v>9</v>
      </c>
      <c r="E34" s="7">
        <v>235</v>
      </c>
      <c r="F34" s="8">
        <v>12</v>
      </c>
    </row>
    <row r="35" spans="1:6">
      <c r="A35" s="7" t="s">
        <v>47</v>
      </c>
      <c r="B35" s="7" t="s">
        <v>46</v>
      </c>
      <c r="C35" s="7" t="s">
        <v>12</v>
      </c>
      <c r="D35" s="7" t="s">
        <v>9</v>
      </c>
      <c r="E35" s="7">
        <v>164</v>
      </c>
      <c r="F35" s="8">
        <v>12</v>
      </c>
    </row>
    <row r="36" spans="1:6">
      <c r="A36" s="7" t="s">
        <v>48</v>
      </c>
      <c r="B36" s="7" t="s">
        <v>11</v>
      </c>
      <c r="C36" s="7" t="s">
        <v>12</v>
      </c>
      <c r="D36" s="7" t="s">
        <v>9</v>
      </c>
      <c r="E36" s="7">
        <v>116</v>
      </c>
      <c r="F36" s="8">
        <v>12</v>
      </c>
    </row>
    <row r="37" spans="1:6">
      <c r="A37" s="7" t="s">
        <v>50</v>
      </c>
      <c r="B37" s="7" t="s">
        <v>46</v>
      </c>
      <c r="C37" s="7" t="s">
        <v>12</v>
      </c>
      <c r="D37" s="7" t="s">
        <v>9</v>
      </c>
      <c r="E37" s="7">
        <v>270</v>
      </c>
      <c r="F37" s="8">
        <v>12</v>
      </c>
    </row>
    <row r="38" spans="1:6">
      <c r="A38" s="7" t="s">
        <v>51</v>
      </c>
      <c r="B38" s="7" t="s">
        <v>15</v>
      </c>
      <c r="C38" s="7" t="s">
        <v>12</v>
      </c>
      <c r="D38" s="7" t="s">
        <v>9</v>
      </c>
      <c r="E38" s="7">
        <v>179</v>
      </c>
      <c r="F38" s="8">
        <v>12</v>
      </c>
    </row>
    <row r="39" spans="1:6">
      <c r="A39" s="7" t="s">
        <v>52</v>
      </c>
      <c r="B39" s="7" t="s">
        <v>46</v>
      </c>
      <c r="C39" s="7" t="s">
        <v>12</v>
      </c>
      <c r="D39" s="7" t="s">
        <v>9</v>
      </c>
      <c r="E39" s="7">
        <v>164</v>
      </c>
      <c r="F39" s="8">
        <v>12</v>
      </c>
    </row>
    <row r="40" spans="1:6">
      <c r="A40" s="7" t="s">
        <v>54</v>
      </c>
      <c r="B40" s="7" t="s">
        <v>46</v>
      </c>
      <c r="C40" s="7" t="s">
        <v>12</v>
      </c>
      <c r="D40" s="7" t="s">
        <v>9</v>
      </c>
      <c r="E40" s="7">
        <v>284</v>
      </c>
      <c r="F40" s="8">
        <v>12</v>
      </c>
    </row>
    <row r="41" spans="1:6">
      <c r="A41" s="7" t="s">
        <v>55</v>
      </c>
      <c r="B41" s="7" t="s">
        <v>46</v>
      </c>
      <c r="C41" s="7" t="s">
        <v>12</v>
      </c>
      <c r="D41" s="7" t="s">
        <v>9</v>
      </c>
      <c r="E41" s="7">
        <v>102</v>
      </c>
      <c r="F41" s="8">
        <v>12</v>
      </c>
    </row>
    <row r="42" spans="1:6">
      <c r="A42" s="7" t="s">
        <v>57</v>
      </c>
      <c r="B42" s="7" t="s">
        <v>46</v>
      </c>
      <c r="C42" s="7" t="s">
        <v>12</v>
      </c>
      <c r="D42" s="7" t="s">
        <v>9</v>
      </c>
      <c r="E42" s="7">
        <v>263</v>
      </c>
      <c r="F42" s="8">
        <v>12</v>
      </c>
    </row>
    <row r="43" spans="1:6">
      <c r="A43" s="7" t="s">
        <v>60</v>
      </c>
      <c r="B43" s="7" t="s">
        <v>46</v>
      </c>
      <c r="C43" s="7" t="s">
        <v>12</v>
      </c>
      <c r="D43" s="7" t="s">
        <v>9</v>
      </c>
      <c r="E43" s="7">
        <v>95</v>
      </c>
      <c r="F43" s="8">
        <v>12</v>
      </c>
    </row>
    <row r="44" spans="1:6">
      <c r="A44" s="7" t="s">
        <v>49</v>
      </c>
      <c r="B44" s="7" t="s">
        <v>102</v>
      </c>
      <c r="C44" s="7" t="s">
        <v>8</v>
      </c>
      <c r="D44" s="7" t="s">
        <v>9</v>
      </c>
      <c r="E44" s="7">
        <v>151</v>
      </c>
      <c r="F44" s="8">
        <v>11</v>
      </c>
    </row>
    <row r="45" spans="1:6">
      <c r="A45" s="7" t="s">
        <v>53</v>
      </c>
      <c r="B45" s="7" t="s">
        <v>113</v>
      </c>
      <c r="C45" s="7" t="s">
        <v>8</v>
      </c>
      <c r="D45" s="7" t="s">
        <v>9</v>
      </c>
      <c r="E45" s="7">
        <v>249</v>
      </c>
      <c r="F45" s="8">
        <v>11</v>
      </c>
    </row>
    <row r="46" spans="1:6">
      <c r="A46" s="7" t="s">
        <v>56</v>
      </c>
      <c r="B46" s="7" t="s">
        <v>11</v>
      </c>
      <c r="C46" s="7" t="s">
        <v>12</v>
      </c>
      <c r="D46" s="7" t="s">
        <v>9</v>
      </c>
      <c r="E46" s="7">
        <v>235</v>
      </c>
      <c r="F46" s="8">
        <v>11</v>
      </c>
    </row>
    <row r="47" spans="1:6">
      <c r="A47" s="7" t="s">
        <v>58</v>
      </c>
      <c r="B47" s="7" t="s">
        <v>11</v>
      </c>
      <c r="C47" s="7" t="s">
        <v>12</v>
      </c>
      <c r="D47" s="7" t="s">
        <v>9</v>
      </c>
      <c r="E47" s="7">
        <v>263</v>
      </c>
      <c r="F47" s="8">
        <v>11</v>
      </c>
    </row>
    <row r="48" spans="1:6">
      <c r="A48" s="7" t="s">
        <v>59</v>
      </c>
      <c r="B48" s="7" t="s">
        <v>102</v>
      </c>
      <c r="C48" s="7" t="s">
        <v>8</v>
      </c>
      <c r="D48" s="7" t="s">
        <v>9</v>
      </c>
      <c r="E48" s="7">
        <v>520</v>
      </c>
      <c r="F48" s="8">
        <v>11</v>
      </c>
    </row>
    <row r="49" spans="1:6">
      <c r="A49" s="7" t="s">
        <v>63</v>
      </c>
      <c r="B49" s="7" t="s">
        <v>62</v>
      </c>
      <c r="C49" s="7" t="s">
        <v>12</v>
      </c>
      <c r="D49" s="7" t="s">
        <v>9</v>
      </c>
      <c r="E49" s="7">
        <v>270</v>
      </c>
      <c r="F49" s="8">
        <v>11</v>
      </c>
    </row>
    <row r="50" spans="1:6">
      <c r="A50" s="7" t="s">
        <v>66</v>
      </c>
      <c r="B50" s="7" t="s">
        <v>22</v>
      </c>
      <c r="C50" s="7" t="s">
        <v>12</v>
      </c>
      <c r="D50" s="7" t="s">
        <v>9</v>
      </c>
      <c r="E50" s="7">
        <v>164</v>
      </c>
      <c r="F50" s="8">
        <v>11</v>
      </c>
    </row>
    <row r="51" spans="1:6">
      <c r="A51" s="7" t="s">
        <v>76</v>
      </c>
      <c r="B51" s="7" t="s">
        <v>15</v>
      </c>
      <c r="C51" s="7" t="s">
        <v>12</v>
      </c>
      <c r="D51" s="7" t="s">
        <v>9</v>
      </c>
      <c r="E51" s="7">
        <v>109</v>
      </c>
      <c r="F51" s="8">
        <v>11</v>
      </c>
    </row>
    <row r="52" spans="1:6">
      <c r="A52" s="7" t="s">
        <v>61</v>
      </c>
      <c r="B52" s="7" t="s">
        <v>46</v>
      </c>
      <c r="C52" s="7" t="s">
        <v>12</v>
      </c>
      <c r="D52" s="7" t="s">
        <v>9</v>
      </c>
      <c r="E52" s="7">
        <v>214</v>
      </c>
      <c r="F52" s="8">
        <v>10</v>
      </c>
    </row>
    <row r="53" spans="1:6">
      <c r="A53" s="7" t="s">
        <v>65</v>
      </c>
      <c r="B53" s="7" t="s">
        <v>113</v>
      </c>
      <c r="C53" s="7" t="s">
        <v>8</v>
      </c>
      <c r="D53" s="7" t="s">
        <v>9</v>
      </c>
      <c r="E53" s="7">
        <v>74</v>
      </c>
      <c r="F53" s="8">
        <v>10</v>
      </c>
    </row>
    <row r="54" spans="1:6">
      <c r="A54" s="7" t="s">
        <v>67</v>
      </c>
      <c r="B54" s="7" t="s">
        <v>62</v>
      </c>
      <c r="C54" s="7" t="s">
        <v>12</v>
      </c>
      <c r="D54" s="7" t="s">
        <v>9</v>
      </c>
      <c r="E54" s="7">
        <v>102</v>
      </c>
      <c r="F54" s="8">
        <v>10</v>
      </c>
    </row>
    <row r="55" spans="1:6">
      <c r="A55" s="7" t="s">
        <v>70</v>
      </c>
      <c r="B55" s="7" t="s">
        <v>22</v>
      </c>
      <c r="C55" s="7" t="s">
        <v>12</v>
      </c>
      <c r="D55" s="7" t="s">
        <v>9</v>
      </c>
      <c r="E55" s="7">
        <v>102</v>
      </c>
      <c r="F55" s="8">
        <v>10</v>
      </c>
    </row>
    <row r="56" spans="1:6">
      <c r="A56" s="7" t="s">
        <v>71</v>
      </c>
      <c r="B56" s="7" t="s">
        <v>62</v>
      </c>
      <c r="C56" s="7" t="s">
        <v>12</v>
      </c>
      <c r="D56" s="7" t="s">
        <v>9</v>
      </c>
      <c r="E56" s="7">
        <v>193</v>
      </c>
      <c r="F56" s="8">
        <v>10</v>
      </c>
    </row>
    <row r="57" spans="1:6">
      <c r="A57" s="7" t="s">
        <v>74</v>
      </c>
      <c r="B57" s="7" t="s">
        <v>62</v>
      </c>
      <c r="C57" s="7" t="s">
        <v>12</v>
      </c>
      <c r="D57" s="7" t="s">
        <v>9</v>
      </c>
      <c r="E57" s="7">
        <v>312</v>
      </c>
      <c r="F57" s="8">
        <v>10</v>
      </c>
    </row>
    <row r="58" spans="1:6">
      <c r="A58" s="7" t="s">
        <v>75</v>
      </c>
      <c r="B58" s="7" t="s">
        <v>62</v>
      </c>
      <c r="C58" s="7" t="s">
        <v>12</v>
      </c>
      <c r="D58" s="7" t="s">
        <v>9</v>
      </c>
      <c r="E58" s="7">
        <v>228</v>
      </c>
      <c r="F58" s="8">
        <v>10</v>
      </c>
    </row>
    <row r="59" spans="1:6">
      <c r="A59" s="7" t="s">
        <v>77</v>
      </c>
      <c r="B59" s="7" t="s">
        <v>22</v>
      </c>
      <c r="C59" s="7" t="s">
        <v>12</v>
      </c>
      <c r="D59" s="7" t="s">
        <v>9</v>
      </c>
      <c r="E59" s="7">
        <v>172</v>
      </c>
      <c r="F59" s="8">
        <v>10</v>
      </c>
    </row>
    <row r="60" spans="1:6">
      <c r="A60" s="7" t="s">
        <v>79</v>
      </c>
      <c r="B60" s="7" t="s">
        <v>15</v>
      </c>
      <c r="C60" s="7" t="s">
        <v>12</v>
      </c>
      <c r="D60" s="7" t="s">
        <v>9</v>
      </c>
      <c r="E60" s="7">
        <v>164</v>
      </c>
      <c r="F60" s="8">
        <v>10</v>
      </c>
    </row>
    <row r="61" spans="1:6">
      <c r="A61" s="7" t="s">
        <v>81</v>
      </c>
      <c r="B61" s="7" t="s">
        <v>46</v>
      </c>
      <c r="C61" s="7" t="s">
        <v>12</v>
      </c>
      <c r="D61" s="7" t="s">
        <v>9</v>
      </c>
      <c r="E61" s="7">
        <v>102</v>
      </c>
      <c r="F61" s="8">
        <v>10</v>
      </c>
    </row>
    <row r="62" spans="1:6">
      <c r="A62" s="7" t="s">
        <v>84</v>
      </c>
      <c r="B62" s="7" t="s">
        <v>62</v>
      </c>
      <c r="C62" s="7" t="s">
        <v>12</v>
      </c>
      <c r="D62" s="7" t="s">
        <v>9</v>
      </c>
      <c r="E62" s="7">
        <v>151</v>
      </c>
      <c r="F62" s="8">
        <v>10</v>
      </c>
    </row>
    <row r="63" spans="1:6">
      <c r="A63" s="7" t="s">
        <v>88</v>
      </c>
      <c r="B63" s="7" t="s">
        <v>113</v>
      </c>
      <c r="C63" s="7" t="s">
        <v>8</v>
      </c>
      <c r="D63" s="7" t="s">
        <v>9</v>
      </c>
      <c r="E63" s="7">
        <v>45</v>
      </c>
      <c r="F63" s="8">
        <v>10</v>
      </c>
    </row>
    <row r="64" spans="1:6">
      <c r="A64" s="7" t="s">
        <v>90</v>
      </c>
      <c r="B64" s="7" t="s">
        <v>22</v>
      </c>
      <c r="C64" s="7" t="s">
        <v>12</v>
      </c>
      <c r="D64" s="7" t="s">
        <v>9</v>
      </c>
      <c r="E64" s="7">
        <v>45</v>
      </c>
      <c r="F64" s="8">
        <v>10</v>
      </c>
    </row>
    <row r="65" spans="1:6">
      <c r="A65" s="7" t="s">
        <v>64</v>
      </c>
      <c r="B65" s="7" t="s">
        <v>102</v>
      </c>
      <c r="C65" s="7" t="s">
        <v>8</v>
      </c>
      <c r="D65" s="7" t="s">
        <v>9</v>
      </c>
      <c r="E65" s="7">
        <v>228</v>
      </c>
      <c r="F65" s="8">
        <v>9</v>
      </c>
    </row>
    <row r="66" spans="1:6">
      <c r="A66" s="7" t="s">
        <v>68</v>
      </c>
      <c r="B66" s="7" t="s">
        <v>102</v>
      </c>
      <c r="C66" s="7" t="s">
        <v>8</v>
      </c>
      <c r="D66" s="7" t="s">
        <v>9</v>
      </c>
      <c r="E66" s="7">
        <v>402</v>
      </c>
      <c r="F66" s="8">
        <v>9</v>
      </c>
    </row>
    <row r="67" spans="1:6">
      <c r="A67" s="7" t="s">
        <v>69</v>
      </c>
      <c r="B67" s="7" t="s">
        <v>46</v>
      </c>
      <c r="C67" s="7" t="s">
        <v>12</v>
      </c>
      <c r="D67" s="7" t="s">
        <v>9</v>
      </c>
      <c r="E67" s="7">
        <v>186</v>
      </c>
      <c r="F67" s="8">
        <v>9</v>
      </c>
    </row>
    <row r="68" spans="1:6">
      <c r="A68" s="7" t="s">
        <v>72</v>
      </c>
      <c r="B68" s="7" t="s">
        <v>46</v>
      </c>
      <c r="C68" s="7" t="s">
        <v>12</v>
      </c>
      <c r="D68" s="7" t="s">
        <v>9</v>
      </c>
      <c r="E68" s="7">
        <v>291</v>
      </c>
      <c r="F68" s="8">
        <v>9</v>
      </c>
    </row>
    <row r="69" spans="1:6">
      <c r="A69" s="7" t="s">
        <v>73</v>
      </c>
      <c r="B69" s="7" t="s">
        <v>15</v>
      </c>
      <c r="C69" s="7" t="s">
        <v>12</v>
      </c>
      <c r="D69" s="7" t="s">
        <v>9</v>
      </c>
      <c r="E69" s="7">
        <v>144</v>
      </c>
      <c r="F69" s="8">
        <v>9</v>
      </c>
    </row>
    <row r="70" spans="1:6">
      <c r="A70" s="7" t="s">
        <v>80</v>
      </c>
      <c r="B70" s="7" t="s">
        <v>22</v>
      </c>
      <c r="C70" s="7" t="s">
        <v>12</v>
      </c>
      <c r="D70" s="7" t="s">
        <v>9</v>
      </c>
      <c r="E70" s="7">
        <v>102</v>
      </c>
      <c r="F70" s="8">
        <v>9</v>
      </c>
    </row>
    <row r="71" spans="1:6">
      <c r="A71" s="7" t="s">
        <v>87</v>
      </c>
      <c r="B71" s="7" t="s">
        <v>102</v>
      </c>
      <c r="C71" s="7" t="s">
        <v>8</v>
      </c>
      <c r="D71" s="7" t="s">
        <v>9</v>
      </c>
      <c r="E71" s="7">
        <v>67</v>
      </c>
      <c r="F71" s="8">
        <v>9</v>
      </c>
    </row>
    <row r="72" spans="1:6">
      <c r="A72" s="7" t="s">
        <v>92</v>
      </c>
      <c r="B72" s="7" t="s">
        <v>15</v>
      </c>
      <c r="C72" s="7" t="s">
        <v>12</v>
      </c>
      <c r="D72" s="7" t="s">
        <v>9</v>
      </c>
      <c r="E72" s="7">
        <v>151</v>
      </c>
      <c r="F72" s="8">
        <v>9</v>
      </c>
    </row>
    <row r="73" spans="1:6">
      <c r="A73" s="7" t="s">
        <v>78</v>
      </c>
      <c r="B73" s="7" t="s">
        <v>11</v>
      </c>
      <c r="C73" s="7" t="s">
        <v>12</v>
      </c>
      <c r="D73" s="7" t="s">
        <v>9</v>
      </c>
      <c r="E73" s="7">
        <v>144</v>
      </c>
      <c r="F73" s="8">
        <v>8</v>
      </c>
    </row>
    <row r="74" spans="1:6">
      <c r="A74" s="7" t="s">
        <v>82</v>
      </c>
      <c r="B74" s="7" t="s">
        <v>113</v>
      </c>
      <c r="C74" s="7" t="s">
        <v>8</v>
      </c>
      <c r="D74" s="7" t="s">
        <v>9</v>
      </c>
      <c r="E74" s="7">
        <v>172</v>
      </c>
      <c r="F74" s="8">
        <v>8</v>
      </c>
    </row>
    <row r="75" spans="1:6">
      <c r="A75" s="7" t="s">
        <v>83</v>
      </c>
      <c r="B75" s="7" t="s">
        <v>15</v>
      </c>
      <c r="C75" s="7" t="s">
        <v>12</v>
      </c>
      <c r="D75" s="7" t="s">
        <v>9</v>
      </c>
      <c r="E75" s="7">
        <v>284</v>
      </c>
      <c r="F75" s="8">
        <v>8</v>
      </c>
    </row>
    <row r="76" spans="1:6">
      <c r="A76" s="7" t="s">
        <v>85</v>
      </c>
      <c r="B76" s="7" t="s">
        <v>7</v>
      </c>
      <c r="C76" s="7" t="s">
        <v>8</v>
      </c>
      <c r="D76" s="7" t="s">
        <v>9</v>
      </c>
      <c r="E76" s="7">
        <v>95</v>
      </c>
      <c r="F76" s="8">
        <v>8</v>
      </c>
    </row>
    <row r="77" spans="1:6">
      <c r="A77" s="7" t="s">
        <v>86</v>
      </c>
      <c r="B77" s="7" t="s">
        <v>11</v>
      </c>
      <c r="C77" s="7" t="s">
        <v>12</v>
      </c>
      <c r="D77" s="7" t="s">
        <v>9</v>
      </c>
      <c r="E77" s="7">
        <v>45</v>
      </c>
      <c r="F77" s="8">
        <v>8</v>
      </c>
    </row>
    <row r="78" spans="1:6">
      <c r="A78" s="7" t="s">
        <v>89</v>
      </c>
      <c r="B78" s="7" t="s">
        <v>46</v>
      </c>
      <c r="C78" s="7" t="s">
        <v>12</v>
      </c>
      <c r="D78" s="7" t="s">
        <v>9</v>
      </c>
      <c r="E78" s="7">
        <v>102</v>
      </c>
      <c r="F78" s="8">
        <v>8</v>
      </c>
    </row>
    <row r="79" spans="1:6">
      <c r="A79" s="7" t="s">
        <v>91</v>
      </c>
      <c r="B79" s="7" t="s">
        <v>46</v>
      </c>
      <c r="C79" s="7" t="s">
        <v>12</v>
      </c>
      <c r="D79" s="7" t="s">
        <v>9</v>
      </c>
      <c r="E79" s="7">
        <v>116</v>
      </c>
      <c r="F79" s="8">
        <v>8</v>
      </c>
    </row>
    <row r="80" spans="1:6">
      <c r="A80" s="7" t="s">
        <v>93</v>
      </c>
      <c r="B80" s="7" t="s">
        <v>15</v>
      </c>
      <c r="C80" s="7" t="s">
        <v>12</v>
      </c>
      <c r="D80" s="7" t="s">
        <v>9</v>
      </c>
      <c r="E80" s="7">
        <v>130</v>
      </c>
      <c r="F80" s="8">
        <v>8</v>
      </c>
    </row>
    <row r="81" spans="1:6">
      <c r="A81" s="7" t="s">
        <v>95</v>
      </c>
      <c r="B81" s="7" t="s">
        <v>113</v>
      </c>
      <c r="C81" s="7" t="s">
        <v>8</v>
      </c>
      <c r="D81" s="7" t="s">
        <v>9</v>
      </c>
      <c r="E81" s="7">
        <v>102</v>
      </c>
      <c r="F81" s="8">
        <v>8</v>
      </c>
    </row>
    <row r="82" spans="1:6">
      <c r="A82" s="7" t="s">
        <v>94</v>
      </c>
      <c r="B82" s="7" t="s">
        <v>7</v>
      </c>
      <c r="C82" s="7" t="s">
        <v>8</v>
      </c>
      <c r="D82" s="7" t="s">
        <v>9</v>
      </c>
      <c r="E82" s="7">
        <v>53</v>
      </c>
      <c r="F82" s="8">
        <v>7</v>
      </c>
    </row>
    <row r="83" spans="1:6">
      <c r="A83" s="7" t="s">
        <v>96</v>
      </c>
      <c r="B83" s="7" t="s">
        <v>7</v>
      </c>
      <c r="C83" s="7" t="s">
        <v>8</v>
      </c>
      <c r="D83" s="7" t="s">
        <v>9</v>
      </c>
      <c r="E83" s="7">
        <v>53</v>
      </c>
      <c r="F83" s="8">
        <v>7</v>
      </c>
    </row>
    <row r="84" spans="1:6">
      <c r="A84" s="7" t="s">
        <v>97</v>
      </c>
      <c r="B84" s="7" t="s">
        <v>62</v>
      </c>
      <c r="C84" s="7" t="s">
        <v>12</v>
      </c>
      <c r="D84" s="7" t="s">
        <v>9</v>
      </c>
      <c r="E84" s="7">
        <v>32</v>
      </c>
      <c r="F84" s="8">
        <v>7</v>
      </c>
    </row>
    <row r="85" spans="1:6">
      <c r="A85" s="7" t="s">
        <v>98</v>
      </c>
      <c r="B85" s="7" t="s">
        <v>46</v>
      </c>
      <c r="C85" s="7" t="s">
        <v>12</v>
      </c>
      <c r="D85" s="7" t="s">
        <v>9</v>
      </c>
      <c r="E85" s="7">
        <v>39</v>
      </c>
      <c r="F85" s="8">
        <v>6</v>
      </c>
    </row>
    <row r="86" spans="1:6">
      <c r="A86" s="7" t="s">
        <v>99</v>
      </c>
      <c r="B86" s="7" t="s">
        <v>113</v>
      </c>
      <c r="C86" s="7" t="s">
        <v>8</v>
      </c>
      <c r="D86" s="7" t="s">
        <v>9</v>
      </c>
      <c r="E86" s="7">
        <v>11</v>
      </c>
      <c r="F86" s="8">
        <v>6</v>
      </c>
    </row>
    <row r="87" spans="1:6">
      <c r="A87" s="7" t="s">
        <v>100</v>
      </c>
      <c r="B87" s="7" t="s">
        <v>22</v>
      </c>
      <c r="C87" s="7" t="s">
        <v>12</v>
      </c>
      <c r="D87" s="7" t="s">
        <v>9</v>
      </c>
      <c r="E87" s="7">
        <v>11</v>
      </c>
      <c r="F87" s="8">
        <v>6</v>
      </c>
    </row>
    <row r="88" spans="1:6">
      <c r="A88" s="7" t="s">
        <v>101</v>
      </c>
      <c r="B88" s="7" t="s">
        <v>15</v>
      </c>
      <c r="C88" s="7" t="s">
        <v>12</v>
      </c>
      <c r="D88" s="7" t="s">
        <v>9</v>
      </c>
      <c r="E88" s="7">
        <v>18</v>
      </c>
      <c r="F88" s="8">
        <v>6</v>
      </c>
    </row>
    <row r="89" spans="1:6">
      <c r="A89" s="7" t="s">
        <v>103</v>
      </c>
      <c r="B89" s="7" t="s">
        <v>62</v>
      </c>
      <c r="C89" s="7" t="s">
        <v>12</v>
      </c>
      <c r="D89" s="7" t="s">
        <v>9</v>
      </c>
      <c r="E89" s="7">
        <v>32</v>
      </c>
      <c r="F89" s="8">
        <v>6</v>
      </c>
    </row>
    <row r="90" spans="1:6">
      <c r="A90" s="7" t="s">
        <v>104</v>
      </c>
      <c r="B90" s="7" t="s">
        <v>102</v>
      </c>
      <c r="C90" s="7" t="s">
        <v>8</v>
      </c>
      <c r="D90" s="7" t="s">
        <v>9</v>
      </c>
      <c r="E90" s="7">
        <v>11</v>
      </c>
      <c r="F90" s="8">
        <v>6</v>
      </c>
    </row>
    <row r="91" spans="1:6">
      <c r="A91" s="7" t="s">
        <v>107</v>
      </c>
      <c r="B91" s="7" t="s">
        <v>22</v>
      </c>
      <c r="C91" s="7" t="s">
        <v>12</v>
      </c>
      <c r="D91" s="7" t="s">
        <v>9</v>
      </c>
      <c r="E91" s="7">
        <v>11</v>
      </c>
      <c r="F91" s="8">
        <v>6</v>
      </c>
    </row>
    <row r="92" spans="1:6">
      <c r="A92" s="7" t="s">
        <v>105</v>
      </c>
      <c r="B92" s="7" t="s">
        <v>120</v>
      </c>
      <c r="C92" s="7" t="s">
        <v>8</v>
      </c>
      <c r="D92" s="7" t="s">
        <v>9</v>
      </c>
      <c r="E92" s="7">
        <v>4</v>
      </c>
      <c r="F92" s="8">
        <v>0</v>
      </c>
    </row>
    <row r="93" spans="1:6">
      <c r="A93" s="7" t="s">
        <v>106</v>
      </c>
      <c r="B93" s="7" t="s">
        <v>120</v>
      </c>
      <c r="C93" s="7" t="s">
        <v>8</v>
      </c>
      <c r="D93" s="7" t="s">
        <v>9</v>
      </c>
      <c r="E93" s="7">
        <v>4</v>
      </c>
      <c r="F93" s="8">
        <v>0</v>
      </c>
    </row>
    <row r="94" spans="1:6">
      <c r="A94" s="7" t="s">
        <v>108</v>
      </c>
      <c r="B94" s="7" t="s">
        <v>120</v>
      </c>
      <c r="C94" s="7" t="s">
        <v>8</v>
      </c>
      <c r="D94" s="7" t="s">
        <v>9</v>
      </c>
      <c r="E94" s="7">
        <v>4</v>
      </c>
      <c r="F94" s="8">
        <v>0</v>
      </c>
    </row>
    <row r="95" spans="1:6">
      <c r="A95" s="7" t="s">
        <v>109</v>
      </c>
      <c r="B95" s="7" t="s">
        <v>120</v>
      </c>
      <c r="C95" s="7" t="s">
        <v>8</v>
      </c>
      <c r="D95" s="7" t="s">
        <v>9</v>
      </c>
      <c r="E95" s="7">
        <v>4</v>
      </c>
      <c r="F95" s="8">
        <v>0</v>
      </c>
    </row>
    <row r="96" spans="1:6">
      <c r="A96" s="7" t="s">
        <v>110</v>
      </c>
      <c r="B96" s="7" t="s">
        <v>15</v>
      </c>
      <c r="C96" s="7" t="s">
        <v>12</v>
      </c>
      <c r="D96" s="7" t="s">
        <v>9</v>
      </c>
      <c r="E96" s="7">
        <v>4</v>
      </c>
      <c r="F96" s="8">
        <v>0</v>
      </c>
    </row>
    <row r="97" spans="1:6">
      <c r="A97" s="7" t="s">
        <v>111</v>
      </c>
      <c r="B97" s="7" t="s">
        <v>120</v>
      </c>
      <c r="C97" s="7" t="s">
        <v>8</v>
      </c>
      <c r="D97" s="7" t="s">
        <v>9</v>
      </c>
      <c r="E97" s="7">
        <v>4</v>
      </c>
      <c r="F97" s="8">
        <v>0</v>
      </c>
    </row>
    <row r="98" spans="1:6">
      <c r="A98" s="7" t="s">
        <v>112</v>
      </c>
      <c r="B98" s="7" t="s">
        <v>120</v>
      </c>
      <c r="C98" s="7" t="s">
        <v>8</v>
      </c>
      <c r="D98" s="7" t="s">
        <v>9</v>
      </c>
      <c r="E98" s="7">
        <v>4</v>
      </c>
      <c r="F98" s="8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Metas_Mes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2026-05-01T05:10:44Z</dcterms:created>
  <dcterms:modified xsi:type="dcterms:W3CDTF">2026-05-04T21:09:13Z</dcterms:modified>
</cp:coreProperties>
</file>